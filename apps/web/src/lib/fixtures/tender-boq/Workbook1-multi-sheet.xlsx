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23760" activeTab="8"/>
  </bookViews>
  <sheets>
    <sheet name="Clip set up copper 1.5m" sheetId="1" r:id="rId1"/>
    <sheet name="Clip setup 110mm pipe per 1.5m" sheetId="2" r:id="rId2"/>
    <sheet name="Clip setup for waste pipes 1.5M" sheetId="3" r:id="rId3"/>
    <sheet name="Plantroom Riser per floor " sheetId="4" r:id="rId4"/>
    <sheet name="WATER MAIN BOOSTER SET" sheetId="5" r:id="rId5"/>
    <sheet name="Plantoom installation " sheetId="6" r:id="rId6"/>
    <sheet name="Consumables" sheetId="7" r:id="rId7"/>
    <sheet name="Hole Coring" sheetId="8" r:id="rId8"/>
    <sheet name="Roofer Costs " sheetId="9" r:id="rId9"/>
  </sheets>
  <externalReferences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<sst xmlns="http://schemas.openxmlformats.org/spreadsheetml/2006/main" count="613" uniqueCount="160">
  <si>
    <t xml:space="preserve"> PIPE CLIPS, UNISTRUT &amp; FIXINGS (15mm to 35mm)</t>
  </si>
  <si>
    <t>Item Description</t>
  </si>
  <si>
    <t>Size / Spec</t>
  </si>
  <si>
    <t>Unit</t>
  </si>
  <si>
    <t>Qty</t>
  </si>
  <si>
    <t>Unit Price (£)</t>
  </si>
  <si>
    <t>Total Price (£)</t>
  </si>
  <si>
    <t>Notes / Ref</t>
  </si>
  <si>
    <t>35mm Rubber Lined M8/M10 Pipe Clip</t>
  </si>
  <si>
    <t>35mm</t>
  </si>
  <si>
    <t>Pcs</t>
  </si>
  <si>
    <t>Rubber lined M8/M10 boss</t>
  </si>
  <si>
    <t>28mm Rubber Lined M8/M10 Pipe Clip</t>
  </si>
  <si>
    <t>28mm</t>
  </si>
  <si>
    <t>22mm Rubber Lined M8/M10 Pipe Clip</t>
  </si>
  <si>
    <t>22mm</t>
  </si>
  <si>
    <t>15mm Rubber Lined M8/M10 Pipe Clip</t>
  </si>
  <si>
    <t>15mm</t>
  </si>
  <si>
    <t>41x41 Slotted Unistrut Channel (3m)</t>
  </si>
  <si>
    <t>41x41x3m</t>
  </si>
  <si>
    <t>Length</t>
  </si>
  <si>
    <t>Galvanised heavy duty channel</t>
  </si>
  <si>
    <t>M10 Channel Nut with Long Spring (Zebedee)</t>
  </si>
  <si>
    <t>M10</t>
  </si>
  <si>
    <t>Unistrut Zebedee spring nut</t>
  </si>
  <si>
    <t>Unistrut Plastic Channel End Caps (Pair)</t>
  </si>
  <si>
    <t>41x41</t>
  </si>
  <si>
    <t>Pair</t>
  </si>
  <si>
    <t>Safety end caps</t>
  </si>
  <si>
    <t>M10 Fully Threaded Rod (3m Length)</t>
  </si>
  <si>
    <t>M10 x 3m</t>
  </si>
  <si>
    <t>Bright zinc plated (BZP)</t>
  </si>
  <si>
    <t>M10 Hexagon Full Nuts (Box of 100)</t>
  </si>
  <si>
    <t>Box</t>
  </si>
  <si>
    <t>Zinc plated DIN 934</t>
  </si>
  <si>
    <t>M10 Form A Flat Washers (Box of 100)</t>
  </si>
  <si>
    <t>Zinc plated flat washer</t>
  </si>
  <si>
    <t>Brown Wall Plugs / Rawlplugs (Box of 100)</t>
  </si>
  <si>
    <t>7mm / Brown</t>
  </si>
  <si>
    <t>Heavy duty 7-10mm plug</t>
  </si>
  <si>
    <t>Countersunk Wood Screws 5.0 x 50mm (Box of 200)</t>
  </si>
  <si>
    <t>5.0x50mm</t>
  </si>
  <si>
    <t>Twinthread / PZ2 woodscrews</t>
  </si>
  <si>
    <t>M10 x 50mm Concrete Shield Anchors / Rawlbolts</t>
  </si>
  <si>
    <t>M10 x 50mm</t>
  </si>
  <si>
    <t>Heavy masonry anchoring</t>
  </si>
  <si>
    <t>Labour per clip</t>
  </si>
  <si>
    <t>SUBTOTAL</t>
  </si>
  <si>
    <t xml:space="preserve">RISER FOR 110MM PIPE CLIPS, UNISTRUT &amp; FIXINGS </t>
  </si>
  <si>
    <t>110mm Rubber Lined M8/M10 Pipe Clip</t>
  </si>
  <si>
    <t>110mm</t>
  </si>
  <si>
    <t>50mm Rubber Lined M8/M10 Pipe Clip</t>
  </si>
  <si>
    <t>50mm</t>
  </si>
  <si>
    <t>40mm Rubber Lined M8/M10 Pipe Clip</t>
  </si>
  <si>
    <t>40mm</t>
  </si>
  <si>
    <t>35MM</t>
  </si>
  <si>
    <t xml:space="preserve">Labour </t>
  </si>
  <si>
    <t xml:space="preserve">RUN FOR 110MM PIPE CLIPS, UNISTRUT &amp; FIXINGS </t>
  </si>
  <si>
    <t xml:space="preserve"> PLANT ROOM RISER PER FLOOR PIPE CLIPS, UNISTRUT &amp; FIXINGS (15mm to 35mm)</t>
  </si>
  <si>
    <t>SECTION 02: COPPER TUBE &amp; WATER PRESS FITTINGS</t>
  </si>
  <si>
    <t>35mm Copper Tube Table X (3m)</t>
  </si>
  <si>
    <t>28mm Copper Tube Table X (3m)</t>
  </si>
  <si>
    <t>35mm Water Press Coupler</t>
  </si>
  <si>
    <t>35mm Water Press 90° Elbow FF</t>
  </si>
  <si>
    <t>35mm Water Press 45° Elbow FF</t>
  </si>
  <si>
    <t>35mm Water Press Equal Tee</t>
  </si>
  <si>
    <t>35mm x 28mm Water Press Reducer MF</t>
  </si>
  <si>
    <t>35x28mm</t>
  </si>
  <si>
    <t>28mm Water Press Coupler</t>
  </si>
  <si>
    <t>28mm Water Press Slip Coupler</t>
  </si>
  <si>
    <t>28mm Water Press 90° Elbow FF</t>
  </si>
  <si>
    <t>28mm Water Press 45° Elbow FF</t>
  </si>
  <si>
    <t>28mm Water Press Equal Tee</t>
  </si>
  <si>
    <t>28mm x 22mm x 28mm Press Tee</t>
  </si>
  <si>
    <t>28x22x28mm</t>
  </si>
  <si>
    <t>28mm x 15mm x 28mm Press Tee</t>
  </si>
  <si>
    <t>28x15x28mm</t>
  </si>
  <si>
    <t>28mm x 22mm Water Press Reducer MF</t>
  </si>
  <si>
    <t>28x22mm</t>
  </si>
  <si>
    <t>35mm Full-Bore Isolation Valve</t>
  </si>
  <si>
    <t>35mm x 1" FI BSP Adaptor (or 1" Flexi Hose)</t>
  </si>
  <si>
    <t>2" MI BSP x 35mm Adaptor (or 2" Bushing to 35mm)</t>
  </si>
  <si>
    <t>2" or 35mm Flexible Anti-Vibration Connector</t>
  </si>
  <si>
    <t>35mm Check / Non-Return Valve</t>
  </si>
  <si>
    <t xml:space="preserve">35mm Stop cock </t>
  </si>
  <si>
    <t xml:space="preserve">35mm double check valve </t>
  </si>
  <si>
    <t>35mm press tee x 22mm O/C</t>
  </si>
  <si>
    <t xml:space="preserve">3/4 inch drain point </t>
  </si>
  <si>
    <t xml:space="preserve">22mm press female </t>
  </si>
  <si>
    <t>PLANTROOM MATERIAL</t>
  </si>
  <si>
    <t>Automated Consolidated Materials Pull-Through Sheet</t>
  </si>
  <si>
    <t>Section Ref</t>
  </si>
  <si>
    <t>Material Description</t>
  </si>
  <si>
    <t>01 - Waste Systems</t>
  </si>
  <si>
    <t>02 - Copper &amp; Water Press</t>
  </si>
  <si>
    <t>03 - Gas Press Fittings</t>
  </si>
  <si>
    <t>04 - Isolation Valves</t>
  </si>
  <si>
    <t>06 - Heating Controls &amp; TRVs</t>
  </si>
  <si>
    <t>07 - Clips &amp; Fixings</t>
  </si>
  <si>
    <t>12 - Pipe Insulation</t>
  </si>
  <si>
    <t>CONSOLIDATED MATERIAL TOTAL</t>
  </si>
  <si>
    <t>SECTION 09: PLUMBING &amp; HEATING ENGINEER CONSUMABLES &amp; SITE SUNDRIES</t>
  </si>
  <si>
    <t>PTFE Thread Seal Tape (Heavy Duty Gas / Water Grade)</t>
  </si>
  <si>
    <t>12mm x 12m</t>
  </si>
  <si>
    <t>Roll</t>
  </si>
  <si>
    <t>Yellow / White PTFE tape</t>
  </si>
  <si>
    <t>Boss White / Jet Blue Pipe Jointing Compound</t>
  </si>
  <si>
    <t>400g Tub</t>
  </si>
  <si>
    <t>Tub</t>
  </si>
  <si>
    <t>Thread jointing compound</t>
  </si>
  <si>
    <t>Loctite 55 Pipe Sealing Cord</t>
  </si>
  <si>
    <t>160m Roll</t>
  </si>
  <si>
    <t>Thread sealing cord</t>
  </si>
  <si>
    <t>Gas Leak Detector Spray</t>
  </si>
  <si>
    <t>400ml Can</t>
  </si>
  <si>
    <t>Can</t>
  </si>
  <si>
    <t>Bubbling leak detection spray</t>
  </si>
  <si>
    <t>Drain &amp; Pipe Solvent Cement (FloPlast / Tangit)</t>
  </si>
  <si>
    <t>250ml Tub</t>
  </si>
  <si>
    <t>ABS / PVC solvent weld cement</t>
  </si>
  <si>
    <t>Solvent Cleaner / De-greaser</t>
  </si>
  <si>
    <t>250ml Tin</t>
  </si>
  <si>
    <t>Tin</t>
  </si>
  <si>
    <t>Pipe surface prep cleaner</t>
  </si>
  <si>
    <t>Sanitary Silicone Sealant (Anti-Mould Clear)</t>
  </si>
  <si>
    <t>310ml Cartridge</t>
  </si>
  <si>
    <t>Tube</t>
  </si>
  <si>
    <t>Baths, basins &amp; showers</t>
  </si>
  <si>
    <t>Sanitary Silicone Sealant (Anti-Mould White)</t>
  </si>
  <si>
    <t>High Temperature Flue Silicone / Fire Cement</t>
  </si>
  <si>
    <t>Boiler flue / stove sealing</t>
  </si>
  <si>
    <t>Expanding Foam (Hand Held / Gun Grade)</t>
  </si>
  <si>
    <t>750ml Can</t>
  </si>
  <si>
    <t>Pipe penetration void filling</t>
  </si>
  <si>
    <t>Abrasive Mesh / Emery Cloth Roll</t>
  </si>
  <si>
    <t>38mm x 5m</t>
  </si>
  <si>
    <t>Copper pipe prep cloth</t>
  </si>
  <si>
    <t>Stainless Steel Hacksaw Blades (24 TPI)</t>
  </si>
  <si>
    <t>300mm (12")</t>
  </si>
  <si>
    <t>Pack of 10</t>
  </si>
  <si>
    <t>Metal pipe cutting blades</t>
  </si>
  <si>
    <t>SDS Plus Masonry Drill Bit Set</t>
  </si>
  <si>
    <t>6mm, 7mm, 8mm, 10mm</t>
  </si>
  <si>
    <t>Set</t>
  </si>
  <si>
    <t>Fixing hole drilling</t>
  </si>
  <si>
    <t>Bi-Metal Hole Saw Set (19mm - 64mm)</t>
  </si>
  <si>
    <t>Multi-Size</t>
  </si>
  <si>
    <t>Worktop &amp; timber hole saws</t>
  </si>
  <si>
    <t>Trade Heavy Duty Cleaning Wipes (UltraGrime / Big Wipes)</t>
  </si>
  <si>
    <t>Tub of 80</t>
  </si>
  <si>
    <t>Hands, tools &amp; silicone cleanup</t>
  </si>
  <si>
    <t>Electrical Insulation Tape</t>
  </si>
  <si>
    <t>19mm x 20m</t>
  </si>
  <si>
    <t>Wiring &amp; temporary marking</t>
  </si>
  <si>
    <t xml:space="preserve">Hole Coring for the Job </t>
  </si>
  <si>
    <t xml:space="preserve">Hole coring </t>
  </si>
  <si>
    <t>per hole</t>
  </si>
  <si>
    <t xml:space="preserve">Roofing cost for flue for the Job </t>
  </si>
  <si>
    <t xml:space="preserve">Flue installation </t>
  </si>
  <si>
    <t xml:space="preserve">Flashings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</si>
</sst>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£&quot;#,##0.00"/>
  </numFmts>
  <fonts count="32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b/>
      <sz val="14"/>
      <color rgb="FF1F4E78"/>
      <name val="Arial"/>
      <charset val="134"/>
    </font>
    <font>
      <i/>
      <sz val="10"/>
      <color rgb="FF595959"/>
      <name val="Arial"/>
      <charset val="134"/>
    </font>
    <font>
      <b/>
      <sz val="10"/>
      <color rgb="FF1F4E78"/>
      <name val="Arial"/>
      <charset val="134"/>
    </font>
    <font>
      <sz val="11"/>
      <color theme="1"/>
      <name val="Helvetica Neue Regular"/>
      <charset val="134"/>
    </font>
    <font>
      <sz val="16"/>
      <color rgb="FF1B365D"/>
      <name val="Helvetica Neue Regular"/>
      <charset val="134"/>
    </font>
    <font>
      <sz val="11"/>
      <color rgb="FFFFFFFF"/>
      <name val="Helvetica Neue Regular"/>
      <charset val="134"/>
    </font>
    <font>
      <sz val="10"/>
      <color rgb="FF1F2937"/>
      <name val="Helvetica Neue Regular"/>
      <charset val="134"/>
    </font>
    <font>
      <sz val="10"/>
      <name val="Helvetica Neue Regular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1B365D"/>
        <bgColor rgb="FF1B365D"/>
      </patternFill>
    </fill>
    <fill>
      <patternFill patternType="solid">
        <fgColor rgb="FFF8FAFC"/>
        <bgColor rgb="FFF8FAFC"/>
      </patternFill>
    </fill>
    <fill>
      <patternFill patternType="solid">
        <fgColor rgb="FFE0F2FE"/>
        <bgColor rgb="FFE0F2F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/>
      <bottom style="double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0" borderId="8" applyNumberFormat="0" applyAlignment="0" applyProtection="0">
      <alignment vertical="center"/>
    </xf>
    <xf numFmtId="0" fontId="22" fillId="11" borderId="9" applyNumberFormat="0" applyAlignment="0" applyProtection="0">
      <alignment vertical="center"/>
    </xf>
    <xf numFmtId="0" fontId="23" fillId="11" borderId="8" applyNumberFormat="0" applyAlignment="0" applyProtection="0">
      <alignment vertical="center"/>
    </xf>
    <xf numFmtId="0" fontId="24" fillId="12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0" fillId="0" borderId="0" xfId="0" applyFill="1" applyAlignment="1"/>
    <xf numFmtId="0" fontId="1" fillId="2" borderId="0" xfId="0" applyFont="1" applyFill="1" applyAlignment="1"/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Fill="1" applyBorder="1" applyAlignment="1"/>
    <xf numFmtId="0" fontId="3" fillId="0" borderId="1" xfId="0" applyFont="1" applyFill="1" applyBorder="1" applyAlignment="1">
      <alignment horizontal="center"/>
    </xf>
    <xf numFmtId="178" fontId="3" fillId="0" borderId="1" xfId="0" applyNumberFormat="1" applyFont="1" applyFill="1" applyBorder="1" applyAlignment="1"/>
    <xf numFmtId="0" fontId="4" fillId="0" borderId="2" xfId="0" applyFont="1" applyFill="1" applyBorder="1" applyAlignment="1"/>
    <xf numFmtId="178" fontId="4" fillId="0" borderId="2" xfId="0" applyNumberFormat="1" applyFont="1" applyFill="1" applyBorder="1" applyAlignment="1"/>
    <xf numFmtId="0" fontId="5" fillId="0" borderId="0" xfId="0" applyFont="1" applyFill="1" applyAlignment="1"/>
    <xf numFmtId="0" fontId="6" fillId="0" borderId="0" xfId="0" applyFont="1" applyFill="1" applyAlignment="1"/>
    <xf numFmtId="0" fontId="7" fillId="4" borderId="0" xfId="0" applyFont="1" applyFill="1" applyAlignment="1"/>
    <xf numFmtId="0" fontId="3" fillId="0" borderId="0" xfId="0" applyFont="1" applyFill="1" applyAlignment="1"/>
    <xf numFmtId="0" fontId="3" fillId="0" borderId="0" xfId="0" applyFont="1" applyFill="1" applyAlignment="1">
      <alignment horizontal="center"/>
    </xf>
    <xf numFmtId="178" fontId="3" fillId="0" borderId="0" xfId="0" applyNumberFormat="1" applyFont="1" applyFill="1" applyAlignment="1"/>
    <xf numFmtId="0" fontId="4" fillId="0" borderId="0" xfId="0" applyFont="1" applyFill="1" applyAlignment="1"/>
    <xf numFmtId="178" fontId="4" fillId="5" borderId="0" xfId="0" applyNumberFormat="1" applyFont="1" applyFill="1" applyAlignment="1"/>
    <xf numFmtId="0" fontId="8" fillId="0" borderId="0" xfId="0" applyFont="1" applyFill="1" applyAlignment="1"/>
    <xf numFmtId="0" fontId="8" fillId="0" borderId="0" xfId="0" applyFont="1" applyFill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10" fillId="6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3" fontId="11" fillId="0" borderId="0" xfId="0" applyNumberFormat="1" applyFont="1" applyFill="1" applyBorder="1" applyAlignment="1">
      <alignment horizontal="center" vertical="center"/>
    </xf>
    <xf numFmtId="178" fontId="11" fillId="0" borderId="0" xfId="0" applyNumberFormat="1" applyFont="1" applyFill="1" applyBorder="1" applyAlignment="1">
      <alignment horizontal="center" vertical="center"/>
    </xf>
    <xf numFmtId="0" fontId="11" fillId="7" borderId="0" xfId="0" applyFont="1" applyFill="1" applyBorder="1" applyAlignment="1">
      <alignment horizontal="center" vertical="center"/>
    </xf>
    <xf numFmtId="3" fontId="11" fillId="7" borderId="0" xfId="0" applyNumberFormat="1" applyFont="1" applyFill="1" applyBorder="1" applyAlignment="1">
      <alignment horizontal="center" vertical="center"/>
    </xf>
    <xf numFmtId="178" fontId="11" fillId="7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/>
    </xf>
    <xf numFmtId="178" fontId="12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1" fillId="8" borderId="0" xfId="0" applyFont="1" applyFill="1" applyBorder="1" applyAlignment="1">
      <alignment horizontal="center" vertical="center"/>
    </xf>
    <xf numFmtId="0" fontId="8" fillId="8" borderId="0" xfId="0" applyFont="1" applyFill="1" applyBorder="1" applyAlignment="1">
      <alignment horizontal="center"/>
    </xf>
    <xf numFmtId="178" fontId="11" fillId="8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/>
    <xf numFmtId="0" fontId="3" fillId="0" borderId="3" xfId="0" applyFont="1" applyFill="1" applyBorder="1" applyAlignment="1"/>
    <xf numFmtId="0" fontId="3" fillId="0" borderId="3" xfId="0" applyFont="1" applyFill="1" applyBorder="1" applyAlignment="1">
      <alignment horizontal="center"/>
    </xf>
    <xf numFmtId="178" fontId="3" fillId="0" borderId="3" xfId="0" applyNumberFormat="1" applyFont="1" applyFill="1" applyBorder="1" applyAlignment="1"/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/>
    <xf numFmtId="178" fontId="3" fillId="0" borderId="0" xfId="0" applyNumberFormat="1" applyFont="1" applyFill="1" applyBorder="1" applyAlignment="1"/>
    <xf numFmtId="178" fontId="3" fillId="0" borderId="0" xfId="0" applyNumberFormat="1" applyFont="1" applyFill="1" applyBorder="1" applyAlignment="1"/>
    <xf numFmtId="0" fontId="4" fillId="0" borderId="4" xfId="0" applyFont="1" applyFill="1" applyBorder="1" applyAlignment="1"/>
    <xf numFmtId="178" fontId="4" fillId="0" borderId="4" xfId="0" applyNumberFormat="1" applyFont="1" applyFill="1" applyBorder="1" applyAlignment="1"/>
    <xf numFmtId="178" fontId="3" fillId="0" borderId="1" xfId="0" applyNumberFormat="1" applyFont="1" applyFill="1" applyBorder="1" applyAlignment="1">
      <alignment horizontal="center"/>
    </xf>
    <xf numFmtId="178" fontId="3" fillId="0" borderId="3" xfId="0" applyNumberFormat="1" applyFont="1" applyFill="1" applyBorder="1" applyAlignment="1">
      <alignment horizontal="center"/>
    </xf>
    <xf numFmtId="178" fontId="3" fillId="0" borderId="0" xfId="0" applyNumberFormat="1" applyFont="1" applyFill="1" applyBorder="1" applyAlignment="1">
      <alignment horizontal="center"/>
    </xf>
    <xf numFmtId="178" fontId="4" fillId="0" borderId="4" xfId="0" applyNumberFormat="1" applyFont="1" applyFill="1" applyBorder="1" applyAlignment="1">
      <alignment horizontal="center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/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umbing_and_Heating_Takeoff_Sheet%20(3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Full Material Schedule"/>
      <sheetName val="Waste Systems"/>
      <sheetName val="Water &amp; Press Fittings"/>
      <sheetName val="Gas Press Fittings"/>
      <sheetName val="Valves &amp; Controls"/>
      <sheetName val="Polyplumb Systems"/>
      <sheetName val="Heating Controls &amp; TRVs"/>
      <sheetName val="Clips &amp; Fixings"/>
      <sheetName val="Water Main &amp; Underground"/>
      <sheetName val="Consumables &amp; Sundries"/>
      <sheetName val="Flexigas Systems"/>
      <sheetName val="Boilers &amp; Cylinders"/>
      <sheetName val="Pipe Insulation"/>
      <sheetName val="Sanitaryware Second-Fix"/>
    </sheetNames>
    <sheetDataSet>
      <sheetData sheetId="0"/>
      <sheetData sheetId="1"/>
      <sheetData sheetId="2">
        <row r="21">
          <cell r="A21" t="str">
            <v>50mm Solvent Weld Waste Pipe (3m)</v>
          </cell>
          <cell r="B21" t="str">
            <v>50mm</v>
          </cell>
          <cell r="C21" t="str">
            <v>Length</v>
          </cell>
        </row>
        <row r="21">
          <cell r="E21">
            <v>9.8</v>
          </cell>
        </row>
        <row r="22">
          <cell r="A22" t="str">
            <v>50mm Solvent 90° Sweeping Bend</v>
          </cell>
          <cell r="B22" t="str">
            <v>50mm</v>
          </cell>
          <cell r="C22" t="str">
            <v>Pcs</v>
          </cell>
        </row>
        <row r="22">
          <cell r="E22">
            <v>2.4</v>
          </cell>
        </row>
        <row r="23">
          <cell r="A23" t="str">
            <v>50mm Solvent 45° Bend</v>
          </cell>
          <cell r="B23" t="str">
            <v>50mm</v>
          </cell>
          <cell r="C23" t="str">
            <v>Pcs</v>
          </cell>
          <cell r="D23">
            <v>0</v>
          </cell>
          <cell r="E23">
            <v>2.2</v>
          </cell>
        </row>
        <row r="24">
          <cell r="A24" t="str">
            <v>50mm Solvent Equal Tee 90°</v>
          </cell>
          <cell r="B24" t="str">
            <v>50mm</v>
          </cell>
          <cell r="C24" t="str">
            <v>Pcs</v>
          </cell>
        </row>
        <row r="24">
          <cell r="E24">
            <v>3.1</v>
          </cell>
        </row>
        <row r="25">
          <cell r="A25" t="str">
            <v>50mm x 40mm Socket Reducer</v>
          </cell>
          <cell r="B25" t="str">
            <v>50x40mm</v>
          </cell>
          <cell r="C25" t="str">
            <v>Pcs</v>
          </cell>
        </row>
        <row r="25">
          <cell r="E25">
            <v>1.8</v>
          </cell>
        </row>
        <row r="26">
          <cell r="A26" t="str">
            <v>40mm Solvent Weld Waste Pipe (3m)</v>
          </cell>
          <cell r="B26" t="str">
            <v>40mm</v>
          </cell>
          <cell r="C26" t="str">
            <v>Length</v>
          </cell>
        </row>
        <row r="26">
          <cell r="E26">
            <v>7.5</v>
          </cell>
        </row>
        <row r="30">
          <cell r="A30" t="str">
            <v>40mm Straight Coupler</v>
          </cell>
          <cell r="B30" t="str">
            <v>40mm</v>
          </cell>
          <cell r="C30" t="str">
            <v>Pcs</v>
          </cell>
        </row>
        <row r="30">
          <cell r="E30">
            <v>1.1</v>
          </cell>
        </row>
        <row r="31">
          <cell r="A31" t="str">
            <v>40mm x 32mm Socket Reducer</v>
          </cell>
          <cell r="B31" t="str">
            <v>40x32mm</v>
          </cell>
          <cell r="C31" t="str">
            <v>Pcs</v>
          </cell>
        </row>
        <row r="31">
          <cell r="E31">
            <v>1.3</v>
          </cell>
        </row>
        <row r="32">
          <cell r="A32" t="str">
            <v>32mm Solvent Weld Waste Pipe (3m)</v>
          </cell>
          <cell r="B32" t="str">
            <v>32mm</v>
          </cell>
          <cell r="C32" t="str">
            <v>Length</v>
          </cell>
        </row>
        <row r="32">
          <cell r="E32">
            <v>6.2</v>
          </cell>
        </row>
        <row r="36">
          <cell r="A36" t="str">
            <v>21.5mm Overflow Pipe (3m)</v>
          </cell>
          <cell r="B36" t="str">
            <v>21.5mm</v>
          </cell>
          <cell r="C36" t="str">
            <v>Length</v>
          </cell>
        </row>
        <row r="36">
          <cell r="E36">
            <v>3.8</v>
          </cell>
        </row>
        <row r="37">
          <cell r="A37" t="str">
            <v>21.5mm Overflow 90° Elbow</v>
          </cell>
          <cell r="B37" t="str">
            <v>21.5mm</v>
          </cell>
          <cell r="C37" t="str">
            <v>Pcs</v>
          </cell>
        </row>
        <row r="37">
          <cell r="E37">
            <v>0.65</v>
          </cell>
        </row>
        <row r="38">
          <cell r="A38" t="str">
            <v>21.5mm Overflow Straight Coupler</v>
          </cell>
          <cell r="B38" t="str">
            <v>21.5mm</v>
          </cell>
          <cell r="C38" t="str">
            <v>Pcs</v>
          </cell>
        </row>
        <row r="38">
          <cell r="E38">
            <v>0.55</v>
          </cell>
        </row>
      </sheetData>
      <sheetData sheetId="3">
        <row r="4">
          <cell r="A4" t="str">
            <v>35mm Copper Tube Table X (3m)</v>
          </cell>
          <cell r="B4" t="str">
            <v>35mm</v>
          </cell>
          <cell r="C4" t="str">
            <v>Length</v>
          </cell>
        </row>
        <row r="4">
          <cell r="E4">
            <v>48.5</v>
          </cell>
        </row>
        <row r="5">
          <cell r="A5" t="str">
            <v>28mm Copper Tube Table X (3m)</v>
          </cell>
          <cell r="B5" t="str">
            <v>28mm</v>
          </cell>
          <cell r="C5" t="str">
            <v>Length</v>
          </cell>
        </row>
        <row r="5">
          <cell r="E5">
            <v>34.2</v>
          </cell>
        </row>
        <row r="6">
          <cell r="A6" t="str">
            <v>22mm Copper Tube Table X (3m)</v>
          </cell>
          <cell r="B6" t="str">
            <v>22mm</v>
          </cell>
          <cell r="C6" t="str">
            <v>Length</v>
          </cell>
        </row>
        <row r="6">
          <cell r="E6">
            <v>21.5</v>
          </cell>
        </row>
        <row r="7">
          <cell r="A7" t="str">
            <v>15mm Copper Tube Table X (3m)</v>
          </cell>
          <cell r="B7" t="str">
            <v>15mm</v>
          </cell>
          <cell r="C7" t="str">
            <v>Length</v>
          </cell>
        </row>
        <row r="7">
          <cell r="E7">
            <v>12.8</v>
          </cell>
        </row>
        <row r="8">
          <cell r="A8" t="str">
            <v>35mm Water Press Coupler</v>
          </cell>
          <cell r="B8" t="str">
            <v>35mm</v>
          </cell>
          <cell r="C8" t="str">
            <v>Pcs</v>
          </cell>
        </row>
        <row r="8">
          <cell r="E8">
            <v>8.5</v>
          </cell>
        </row>
        <row r="9">
          <cell r="A9" t="str">
            <v>35mm Water Press 90° Elbow FF</v>
          </cell>
          <cell r="B9" t="str">
            <v>35mm</v>
          </cell>
          <cell r="C9" t="str">
            <v>Pcs</v>
          </cell>
        </row>
        <row r="9">
          <cell r="E9">
            <v>12.4</v>
          </cell>
        </row>
        <row r="10">
          <cell r="A10" t="str">
            <v>35mm Water Press 45° Elbow FF</v>
          </cell>
          <cell r="B10" t="str">
            <v>35mm</v>
          </cell>
          <cell r="C10" t="str">
            <v>Pcs</v>
          </cell>
        </row>
        <row r="10">
          <cell r="E10">
            <v>11.8</v>
          </cell>
        </row>
        <row r="11">
          <cell r="A11" t="str">
            <v>35mm Water Press Equal Tee</v>
          </cell>
          <cell r="B11" t="str">
            <v>35mm</v>
          </cell>
          <cell r="C11" t="str">
            <v>Pcs</v>
          </cell>
        </row>
        <row r="11">
          <cell r="E11">
            <v>18.2</v>
          </cell>
        </row>
        <row r="12">
          <cell r="A12" t="str">
            <v>35mm x 28mm Water Press Reducer MF</v>
          </cell>
          <cell r="B12" t="str">
            <v>35x28mm</v>
          </cell>
          <cell r="C12" t="str">
            <v>Pcs</v>
          </cell>
        </row>
        <row r="12">
          <cell r="E12">
            <v>9.8</v>
          </cell>
        </row>
        <row r="13">
          <cell r="A13" t="str">
            <v>28mm Water Press Coupler</v>
          </cell>
          <cell r="B13" t="str">
            <v>28mm</v>
          </cell>
          <cell r="C13" t="str">
            <v>Pcs</v>
          </cell>
        </row>
        <row r="13">
          <cell r="E13">
            <v>4.8</v>
          </cell>
        </row>
        <row r="14">
          <cell r="A14" t="str">
            <v>28mm Water Press Slip Coupler</v>
          </cell>
          <cell r="B14" t="str">
            <v>28mm</v>
          </cell>
          <cell r="C14" t="str">
            <v>Pcs</v>
          </cell>
          <cell r="D14">
            <v>0</v>
          </cell>
          <cell r="E14">
            <v>6.2</v>
          </cell>
        </row>
        <row r="15">
          <cell r="A15" t="str">
            <v>28mm Water Press 90° Elbow FF</v>
          </cell>
          <cell r="B15" t="str">
            <v>28mm</v>
          </cell>
          <cell r="C15" t="str">
            <v>Pcs</v>
          </cell>
        </row>
        <row r="15">
          <cell r="E15">
            <v>6.9</v>
          </cell>
        </row>
        <row r="16">
          <cell r="A16" t="str">
            <v>28mm Water Press 45° Elbow FF</v>
          </cell>
          <cell r="B16" t="str">
            <v>28mm</v>
          </cell>
          <cell r="C16" t="str">
            <v>Pcs</v>
          </cell>
        </row>
        <row r="16">
          <cell r="E16">
            <v>6.5</v>
          </cell>
        </row>
        <row r="17">
          <cell r="A17" t="str">
            <v>28mm Water Press Equal Tee</v>
          </cell>
          <cell r="B17" t="str">
            <v>28mm</v>
          </cell>
          <cell r="C17" t="str">
            <v>Pcs</v>
          </cell>
        </row>
        <row r="17">
          <cell r="E17">
            <v>9.4</v>
          </cell>
        </row>
        <row r="18">
          <cell r="A18" t="str">
            <v>28mm x 22mm x 28mm Press Tee</v>
          </cell>
          <cell r="B18" t="str">
            <v>28x22x28mm</v>
          </cell>
          <cell r="C18" t="str">
            <v>Pcs</v>
          </cell>
        </row>
        <row r="18">
          <cell r="E18">
            <v>10.2</v>
          </cell>
        </row>
        <row r="19">
          <cell r="A19" t="str">
            <v>28mm x 15mm x 28mm Press Tee</v>
          </cell>
          <cell r="B19" t="str">
            <v>28x15x28mm</v>
          </cell>
          <cell r="C19" t="str">
            <v>Pcs</v>
          </cell>
        </row>
        <row r="19">
          <cell r="E19">
            <v>10.5</v>
          </cell>
        </row>
        <row r="20">
          <cell r="A20" t="str">
            <v>28mm x 22mm Water Press Reducer MF</v>
          </cell>
          <cell r="B20" t="str">
            <v>28x22mm</v>
          </cell>
          <cell r="C20" t="str">
            <v>Pcs</v>
          </cell>
        </row>
        <row r="20">
          <cell r="E20">
            <v>5.2</v>
          </cell>
        </row>
        <row r="21">
          <cell r="A21" t="str">
            <v>22mm Water Press Coupler</v>
          </cell>
          <cell r="B21" t="str">
            <v>22mm</v>
          </cell>
          <cell r="C21" t="str">
            <v>Pcs</v>
          </cell>
        </row>
        <row r="21">
          <cell r="E21">
            <v>2.9</v>
          </cell>
        </row>
        <row r="22">
          <cell r="A22" t="str">
            <v>22mm Water Press Slip Coupler</v>
          </cell>
          <cell r="B22" t="str">
            <v>22mm</v>
          </cell>
          <cell r="C22" t="str">
            <v>Pcs</v>
          </cell>
          <cell r="D22">
            <v>0</v>
          </cell>
          <cell r="E22">
            <v>3.8</v>
          </cell>
        </row>
        <row r="23">
          <cell r="A23" t="str">
            <v>22mm Water Press 90° Elbow FF</v>
          </cell>
          <cell r="B23" t="str">
            <v>22mm</v>
          </cell>
          <cell r="C23" t="str">
            <v>Pcs</v>
          </cell>
        </row>
        <row r="23">
          <cell r="E23">
            <v>3.6</v>
          </cell>
        </row>
        <row r="24">
          <cell r="A24" t="str">
            <v>22mm Water Press 45° Elbow FF</v>
          </cell>
          <cell r="B24" t="str">
            <v>22mm</v>
          </cell>
          <cell r="C24" t="str">
            <v>Pcs</v>
          </cell>
        </row>
        <row r="24">
          <cell r="E24">
            <v>3.4</v>
          </cell>
        </row>
        <row r="25">
          <cell r="A25" t="str">
            <v>22mm Water Press Equal Tee</v>
          </cell>
          <cell r="B25" t="str">
            <v>22mm</v>
          </cell>
          <cell r="C25" t="str">
            <v>Pcs</v>
          </cell>
        </row>
        <row r="25">
          <cell r="E25">
            <v>5.2</v>
          </cell>
        </row>
        <row r="26">
          <cell r="A26" t="str">
            <v>22mm x 15mm x 22mm Press Tee</v>
          </cell>
          <cell r="B26" t="str">
            <v>22x15x22mm</v>
          </cell>
          <cell r="C26" t="str">
            <v>Pcs</v>
          </cell>
        </row>
        <row r="26">
          <cell r="E26">
            <v>5.8</v>
          </cell>
        </row>
        <row r="27">
          <cell r="A27" t="str">
            <v>22mm x 15mm Water Press Reducer MF</v>
          </cell>
          <cell r="B27" t="str">
            <v>22x15mm</v>
          </cell>
          <cell r="C27" t="str">
            <v>Pcs</v>
          </cell>
        </row>
        <row r="27">
          <cell r="E27">
            <v>3.1</v>
          </cell>
        </row>
        <row r="28">
          <cell r="A28" t="str">
            <v>22mm Water Press x 3/4" Male Adaptor</v>
          </cell>
          <cell r="B28" t="str">
            <v>22mm x 3/4"</v>
          </cell>
          <cell r="C28" t="str">
            <v>Pcs</v>
          </cell>
        </row>
        <row r="28">
          <cell r="E28">
            <v>6.5</v>
          </cell>
        </row>
        <row r="29">
          <cell r="A29" t="str">
            <v>22mm Water Press Stop End / Cap</v>
          </cell>
          <cell r="B29" t="str">
            <v>22mm</v>
          </cell>
          <cell r="C29" t="str">
            <v>Pcs</v>
          </cell>
        </row>
        <row r="29">
          <cell r="E29">
            <v>4.2</v>
          </cell>
        </row>
        <row r="30">
          <cell r="A30" t="str">
            <v>15mm Water Press Coupler</v>
          </cell>
          <cell r="B30" t="str">
            <v>15mm</v>
          </cell>
          <cell r="C30" t="str">
            <v>Pcs</v>
          </cell>
          <cell r="D30">
            <v>0</v>
          </cell>
          <cell r="E30">
            <v>2.1</v>
          </cell>
        </row>
        <row r="31">
          <cell r="A31" t="str">
            <v>15mm Water Press 90° Elbow FF</v>
          </cell>
          <cell r="B31" t="str">
            <v>15mm</v>
          </cell>
          <cell r="C31" t="str">
            <v>Pcs</v>
          </cell>
        </row>
        <row r="31">
          <cell r="E31">
            <v>2.6</v>
          </cell>
        </row>
        <row r="32">
          <cell r="A32" t="str">
            <v>15mm Water Press 45° Elbow FF</v>
          </cell>
          <cell r="B32" t="str">
            <v>15mm</v>
          </cell>
          <cell r="C32" t="str">
            <v>Pcs</v>
          </cell>
        </row>
        <row r="32">
          <cell r="E32">
            <v>2.5</v>
          </cell>
        </row>
        <row r="33">
          <cell r="A33" t="str">
            <v>15mm Water Press Equal Tee</v>
          </cell>
          <cell r="B33" t="str">
            <v>15mm</v>
          </cell>
          <cell r="C33" t="str">
            <v>Pcs</v>
          </cell>
        </row>
        <row r="33">
          <cell r="E33">
            <v>3.8</v>
          </cell>
        </row>
        <row r="34">
          <cell r="A34" t="str">
            <v>15mm Water Press x 1/2" Wall Plate Elbow</v>
          </cell>
          <cell r="B34" t="str">
            <v>15mm x 1/2"</v>
          </cell>
          <cell r="C34" t="str">
            <v>Pcs</v>
          </cell>
          <cell r="D34">
            <v>0</v>
          </cell>
          <cell r="E34">
            <v>8.9</v>
          </cell>
        </row>
        <row r="35">
          <cell r="A35" t="str">
            <v>15mm Water Press x 1/2" Male Adaptor</v>
          </cell>
          <cell r="B35" t="str">
            <v>15mm x 1/2"</v>
          </cell>
          <cell r="C35" t="str">
            <v>Pcs</v>
          </cell>
        </row>
        <row r="35">
          <cell r="E35">
            <v>4.2</v>
          </cell>
        </row>
        <row r="36">
          <cell r="A36" t="str">
            <v>15mm Water Press Stop End / Cap</v>
          </cell>
          <cell r="B36" t="str">
            <v>15mm</v>
          </cell>
          <cell r="C36" t="str">
            <v>Pcs</v>
          </cell>
        </row>
        <row r="36">
          <cell r="E36">
            <v>3.1</v>
          </cell>
        </row>
      </sheetData>
      <sheetData sheetId="4">
        <row r="4">
          <cell r="A4" t="str">
            <v>35mm Gas Press Coupler (Yellow Seal)</v>
          </cell>
          <cell r="B4" t="str">
            <v>35mm</v>
          </cell>
          <cell r="C4" t="str">
            <v>Pcs</v>
          </cell>
        </row>
        <row r="4">
          <cell r="E4">
            <v>11.2</v>
          </cell>
        </row>
        <row r="5">
          <cell r="A5" t="str">
            <v>35mm Gas Press 90° Elbow FF</v>
          </cell>
          <cell r="B5" t="str">
            <v>35mm</v>
          </cell>
          <cell r="C5" t="str">
            <v>Pcs</v>
          </cell>
        </row>
        <row r="5">
          <cell r="E5">
            <v>15.8</v>
          </cell>
        </row>
        <row r="6">
          <cell r="A6" t="str">
            <v>35mm Gas Press 45° Elbow FF</v>
          </cell>
          <cell r="B6" t="str">
            <v>35mm</v>
          </cell>
          <cell r="C6" t="str">
            <v>Pcs</v>
          </cell>
        </row>
        <row r="6">
          <cell r="E6">
            <v>14.9</v>
          </cell>
        </row>
        <row r="7">
          <cell r="A7" t="str">
            <v>35mm Gas Press Equal Tee</v>
          </cell>
          <cell r="B7" t="str">
            <v>35mm</v>
          </cell>
          <cell r="C7" t="str">
            <v>Pcs</v>
          </cell>
          <cell r="D7">
            <v>0</v>
          </cell>
          <cell r="E7">
            <v>22.5</v>
          </cell>
        </row>
        <row r="8">
          <cell r="A8" t="str">
            <v>35mm x 28mm Gas Press Reducer MF</v>
          </cell>
          <cell r="B8" t="str">
            <v>35x28mm</v>
          </cell>
          <cell r="C8" t="str">
            <v>Pcs</v>
          </cell>
        </row>
        <row r="8">
          <cell r="E8">
            <v>12.4</v>
          </cell>
        </row>
        <row r="9">
          <cell r="A9" t="str">
            <v>28mm Gas Press Coupler (Yellow Seal)</v>
          </cell>
          <cell r="B9" t="str">
            <v>28mm</v>
          </cell>
          <cell r="C9" t="str">
            <v>Pcs</v>
          </cell>
        </row>
        <row r="9">
          <cell r="E9">
            <v>6.4</v>
          </cell>
        </row>
        <row r="10">
          <cell r="A10" t="str">
            <v>28mm Gas Press Slip Coupler</v>
          </cell>
          <cell r="B10" t="str">
            <v>28mm</v>
          </cell>
          <cell r="C10" t="str">
            <v>Pcs</v>
          </cell>
          <cell r="D10">
            <v>0</v>
          </cell>
          <cell r="E10">
            <v>8.2</v>
          </cell>
        </row>
        <row r="11">
          <cell r="A11" t="str">
            <v>28mm Gas Press 90° Elbow FF</v>
          </cell>
          <cell r="B11" t="str">
            <v>28mm</v>
          </cell>
          <cell r="C11" t="str">
            <v>Pcs</v>
          </cell>
        </row>
        <row r="11">
          <cell r="E11">
            <v>8.9</v>
          </cell>
        </row>
        <row r="12">
          <cell r="A12" t="str">
            <v>28mm Gas Press 45° Elbow FF</v>
          </cell>
          <cell r="B12" t="str">
            <v>28mm</v>
          </cell>
          <cell r="C12" t="str">
            <v>Pcs</v>
          </cell>
        </row>
        <row r="12">
          <cell r="E12">
            <v>8.5</v>
          </cell>
        </row>
        <row r="13">
          <cell r="A13" t="str">
            <v>28mm Gas Press Equal Tee</v>
          </cell>
          <cell r="B13" t="str">
            <v>28mm</v>
          </cell>
          <cell r="C13" t="str">
            <v>Pcs</v>
          </cell>
          <cell r="D13">
            <v>0</v>
          </cell>
          <cell r="E13">
            <v>12.1</v>
          </cell>
        </row>
        <row r="14">
          <cell r="A14" t="str">
            <v>28mm x 22mm x 28mm Gas Press Tee</v>
          </cell>
          <cell r="B14" t="str">
            <v>28x22x28mm</v>
          </cell>
          <cell r="C14" t="str">
            <v>Pcs</v>
          </cell>
          <cell r="D14">
            <v>0</v>
          </cell>
          <cell r="E14">
            <v>13.5</v>
          </cell>
        </row>
        <row r="15">
          <cell r="A15" t="str">
            <v>28mm x 22mm Gas Press Reducer MF</v>
          </cell>
          <cell r="B15" t="str">
            <v>28x22mm</v>
          </cell>
          <cell r="C15" t="str">
            <v>Pcs</v>
          </cell>
        </row>
        <row r="15">
          <cell r="E15">
            <v>6.8</v>
          </cell>
        </row>
        <row r="16">
          <cell r="A16" t="str">
            <v>28mm Gas Press x 1" Male Adaptor</v>
          </cell>
          <cell r="B16" t="str">
            <v>28mm x 1"</v>
          </cell>
          <cell r="C16" t="str">
            <v>Pcs</v>
          </cell>
          <cell r="D16">
            <v>0</v>
          </cell>
          <cell r="E16">
            <v>11.5</v>
          </cell>
        </row>
        <row r="17">
          <cell r="A17" t="str">
            <v>28mm Gas Press x BS 746 Meter Union</v>
          </cell>
          <cell r="B17" t="str">
            <v>28mm x BS746</v>
          </cell>
          <cell r="C17" t="str">
            <v>Pcs</v>
          </cell>
          <cell r="D17">
            <v>0</v>
          </cell>
          <cell r="E17">
            <v>18.9</v>
          </cell>
        </row>
        <row r="18">
          <cell r="A18" t="str">
            <v>22mm Gas Press Coupler (Yellow Seal)</v>
          </cell>
          <cell r="B18" t="str">
            <v>22mm</v>
          </cell>
          <cell r="C18" t="str">
            <v>Pcs</v>
          </cell>
        </row>
        <row r="18">
          <cell r="E18">
            <v>3.8</v>
          </cell>
        </row>
        <row r="19">
          <cell r="A19" t="str">
            <v>22mm Gas Press Slip Coupler</v>
          </cell>
          <cell r="B19" t="str">
            <v>22mm</v>
          </cell>
          <cell r="C19" t="str">
            <v>Pcs</v>
          </cell>
          <cell r="D19">
            <v>0</v>
          </cell>
          <cell r="E19">
            <v>5.1</v>
          </cell>
        </row>
        <row r="20">
          <cell r="A20" t="str">
            <v>22mm Gas Press 90° Elbow FF</v>
          </cell>
          <cell r="B20" t="str">
            <v>22mm</v>
          </cell>
          <cell r="C20" t="str">
            <v>Pcs</v>
          </cell>
        </row>
        <row r="20">
          <cell r="E20">
            <v>4.7</v>
          </cell>
        </row>
        <row r="21">
          <cell r="A21" t="str">
            <v>22mm Gas Press 45° Elbow FF</v>
          </cell>
          <cell r="B21" t="str">
            <v>22mm</v>
          </cell>
          <cell r="C21" t="str">
            <v>Pcs</v>
          </cell>
        </row>
        <row r="21">
          <cell r="E21">
            <v>4.4</v>
          </cell>
        </row>
        <row r="22">
          <cell r="A22" t="str">
            <v>22mm Gas Press Equal Tee</v>
          </cell>
          <cell r="B22" t="str">
            <v>22mm</v>
          </cell>
          <cell r="C22" t="str">
            <v>Pcs</v>
          </cell>
          <cell r="D22">
            <v>0</v>
          </cell>
          <cell r="E22">
            <v>6.8</v>
          </cell>
        </row>
        <row r="23">
          <cell r="A23" t="str">
            <v>22mm x 15mm x 22mm Gas Press Tee</v>
          </cell>
          <cell r="B23" t="str">
            <v>22x15x22mm</v>
          </cell>
          <cell r="C23" t="str">
            <v>Pcs</v>
          </cell>
        </row>
        <row r="23">
          <cell r="E23">
            <v>7.4</v>
          </cell>
        </row>
        <row r="24">
          <cell r="A24" t="str">
            <v>22mm x 15mm Gas Press Reducer MF</v>
          </cell>
          <cell r="B24" t="str">
            <v>22x15mm</v>
          </cell>
          <cell r="C24" t="str">
            <v>Pcs</v>
          </cell>
        </row>
        <row r="24">
          <cell r="E24">
            <v>4.1</v>
          </cell>
        </row>
        <row r="25">
          <cell r="A25" t="str">
            <v>22mm Gas Press x 3/4" Male Adaptor</v>
          </cell>
          <cell r="B25" t="str">
            <v>22mm x 3/4"</v>
          </cell>
          <cell r="C25" t="str">
            <v>Pcs</v>
          </cell>
        </row>
        <row r="25">
          <cell r="E25">
            <v>7.8</v>
          </cell>
        </row>
        <row r="26">
          <cell r="A26" t="str">
            <v>22mm Gas Press x BS 746 Meter Union</v>
          </cell>
          <cell r="B26" t="str">
            <v>22mm x BS746</v>
          </cell>
          <cell r="C26" t="str">
            <v>Pcs</v>
          </cell>
          <cell r="D26">
            <v>0</v>
          </cell>
          <cell r="E26">
            <v>14.5</v>
          </cell>
        </row>
        <row r="27">
          <cell r="A27" t="str">
            <v>22mm Gas Press Stop End / Cap</v>
          </cell>
          <cell r="B27" t="str">
            <v>22mm</v>
          </cell>
          <cell r="C27" t="str">
            <v>Pcs</v>
          </cell>
          <cell r="D27">
            <v>0</v>
          </cell>
          <cell r="E27">
            <v>5.2</v>
          </cell>
        </row>
        <row r="28">
          <cell r="A28" t="str">
            <v>15mm Gas Press Coupler (Yellow Seal)</v>
          </cell>
          <cell r="B28" t="str">
            <v>15mm</v>
          </cell>
          <cell r="C28" t="str">
            <v>Pcs</v>
          </cell>
          <cell r="D28">
            <v>0</v>
          </cell>
          <cell r="E28">
            <v>2.8</v>
          </cell>
        </row>
        <row r="29">
          <cell r="A29" t="str">
            <v>15mm Gas Press 90° Elbow FF</v>
          </cell>
          <cell r="B29" t="str">
            <v>15mm</v>
          </cell>
          <cell r="C29" t="str">
            <v>Pcs</v>
          </cell>
        </row>
        <row r="29">
          <cell r="E29">
            <v>3.5</v>
          </cell>
        </row>
        <row r="30">
          <cell r="A30" t="str">
            <v>15mm Gas Press 45° Elbow FF</v>
          </cell>
          <cell r="B30" t="str">
            <v>15mm</v>
          </cell>
          <cell r="C30" t="str">
            <v>Pcs</v>
          </cell>
        </row>
        <row r="30">
          <cell r="E30">
            <v>3.3</v>
          </cell>
        </row>
        <row r="31">
          <cell r="A31" t="str">
            <v>15mm Gas Press Equal Tee</v>
          </cell>
          <cell r="B31" t="str">
            <v>15mm</v>
          </cell>
          <cell r="C31" t="str">
            <v>Pcs</v>
          </cell>
          <cell r="D31">
            <v>0</v>
          </cell>
          <cell r="E31">
            <v>4.9</v>
          </cell>
        </row>
        <row r="32">
          <cell r="A32" t="str">
            <v>15mm Gas Press x 1/2" Male Adaptor</v>
          </cell>
          <cell r="B32" t="str">
            <v>15mm x 1/2"</v>
          </cell>
          <cell r="C32" t="str">
            <v>Pcs</v>
          </cell>
          <cell r="D32">
            <v>0</v>
          </cell>
          <cell r="E32">
            <v>5.4</v>
          </cell>
        </row>
        <row r="33">
          <cell r="A33" t="str">
            <v>15mm Gas Press Stop End / Cap</v>
          </cell>
          <cell r="B33" t="str">
            <v>15mm</v>
          </cell>
          <cell r="C33" t="str">
            <v>Pcs</v>
          </cell>
          <cell r="D33">
            <v>0</v>
          </cell>
          <cell r="E33">
            <v>3.9</v>
          </cell>
        </row>
      </sheetData>
      <sheetData sheetId="5">
        <row r="4">
          <cell r="A4" t="str">
            <v>15mm Compression Screwdriver Slot Isolator (Chrome)</v>
          </cell>
          <cell r="B4" t="str">
            <v>15mm</v>
          </cell>
          <cell r="C4" t="str">
            <v>Pcs</v>
          </cell>
        </row>
        <row r="4">
          <cell r="E4">
            <v>2.1</v>
          </cell>
        </row>
        <row r="5">
          <cell r="A5" t="str">
            <v>15mm Compression Lever Handle Isolator (Chrome)</v>
          </cell>
          <cell r="B5" t="str">
            <v>15mm</v>
          </cell>
          <cell r="C5" t="str">
            <v>Pcs</v>
          </cell>
          <cell r="D5">
            <v>0</v>
          </cell>
          <cell r="E5">
            <v>3.2</v>
          </cell>
        </row>
        <row r="6">
          <cell r="A6" t="str">
            <v>15mm Compression Service Valve x 1/2" Flexi Tail</v>
          </cell>
          <cell r="B6" t="str">
            <v>15x1/2"</v>
          </cell>
          <cell r="C6" t="str">
            <v>Pcs</v>
          </cell>
          <cell r="D6">
            <v>0</v>
          </cell>
          <cell r="E6">
            <v>4.1</v>
          </cell>
        </row>
        <row r="7">
          <cell r="A7" t="str">
            <v>15mm Compression Full Bore Lever Valve (Red Handle)</v>
          </cell>
          <cell r="B7" t="str">
            <v>15mm</v>
          </cell>
          <cell r="C7" t="str">
            <v>Pcs</v>
          </cell>
        </row>
        <row r="7">
          <cell r="E7">
            <v>4.8</v>
          </cell>
        </row>
        <row r="8">
          <cell r="A8" t="str">
            <v>15mm Compression Full Bore Lever Valve (Blue Handle)</v>
          </cell>
          <cell r="B8" t="str">
            <v>15mm</v>
          </cell>
          <cell r="C8" t="str">
            <v>Pcs</v>
          </cell>
          <cell r="D8">
            <v>0</v>
          </cell>
          <cell r="E8">
            <v>4.8</v>
          </cell>
        </row>
        <row r="9">
          <cell r="A9" t="str">
            <v>22mm Compression Full Bore Lever Valve (Red Handle)</v>
          </cell>
          <cell r="B9" t="str">
            <v>22mm</v>
          </cell>
          <cell r="C9" t="str">
            <v>Pcs</v>
          </cell>
        </row>
        <row r="9">
          <cell r="E9">
            <v>7.5</v>
          </cell>
        </row>
        <row r="10">
          <cell r="A10" t="str">
            <v>22mm Compression Full Bore Lever Valve (Blue Handle)</v>
          </cell>
          <cell r="B10" t="str">
            <v>22mm</v>
          </cell>
          <cell r="C10" t="str">
            <v>Pcs</v>
          </cell>
          <cell r="D10">
            <v>0</v>
          </cell>
          <cell r="E10">
            <v>7.5</v>
          </cell>
        </row>
        <row r="11">
          <cell r="A11" t="str">
            <v>28mm Compression Full Bore Lever Valve (Red Handle)</v>
          </cell>
          <cell r="B11" t="str">
            <v>28mm</v>
          </cell>
          <cell r="C11" t="str">
            <v>Pcs</v>
          </cell>
          <cell r="D11">
            <v>0</v>
          </cell>
          <cell r="E11">
            <v>14.8</v>
          </cell>
        </row>
        <row r="12">
          <cell r="A12" t="str">
            <v>28mm Compression Full Bore Lever Valve (Blue Handle)</v>
          </cell>
          <cell r="B12" t="str">
            <v>28mm</v>
          </cell>
          <cell r="C12" t="str">
            <v>Pcs</v>
          </cell>
        </row>
        <row r="12">
          <cell r="E12">
            <v>14.8</v>
          </cell>
        </row>
        <row r="13">
          <cell r="A13" t="str">
            <v>35mm Compression Full Bore Lever Valve</v>
          </cell>
          <cell r="B13" t="str">
            <v>35mm</v>
          </cell>
          <cell r="C13" t="str">
            <v>Pcs</v>
          </cell>
          <cell r="D13">
            <v>0</v>
          </cell>
          <cell r="E13">
            <v>28.5</v>
          </cell>
        </row>
        <row r="14">
          <cell r="A14" t="str">
            <v>15mm Gas Compression Lever Valve (Yellow Handle)</v>
          </cell>
          <cell r="B14" t="str">
            <v>15mm</v>
          </cell>
          <cell r="C14" t="str">
            <v>Pcs</v>
          </cell>
        </row>
        <row r="14">
          <cell r="E14">
            <v>6.2</v>
          </cell>
        </row>
        <row r="15">
          <cell r="A15" t="str">
            <v>22mm Gas Compression Lever Valve (Yellow Handle)</v>
          </cell>
          <cell r="B15" t="str">
            <v>22mm</v>
          </cell>
          <cell r="C15" t="str">
            <v>Pcs</v>
          </cell>
          <cell r="D15">
            <v>0</v>
          </cell>
          <cell r="E15">
            <v>9.8</v>
          </cell>
        </row>
        <row r="16">
          <cell r="A16" t="str">
            <v>28mm Gas Compression Lever Valve (Yellow Handle)</v>
          </cell>
          <cell r="B16" t="str">
            <v>28mm</v>
          </cell>
          <cell r="C16" t="str">
            <v>Pcs</v>
          </cell>
          <cell r="D16">
            <v>0</v>
          </cell>
          <cell r="E16">
            <v>18.5</v>
          </cell>
        </row>
        <row r="17">
          <cell r="A17" t="str">
            <v>22mm Gas Press Full Bore Lever Ball Valve</v>
          </cell>
          <cell r="B17" t="str">
            <v>22mm</v>
          </cell>
          <cell r="C17" t="str">
            <v>Pcs</v>
          </cell>
          <cell r="D17">
            <v>0</v>
          </cell>
          <cell r="E17">
            <v>16.5</v>
          </cell>
        </row>
        <row r="18">
          <cell r="A18" t="str">
            <v>28mm Gas Press Full Bore Lever Ball Valve</v>
          </cell>
          <cell r="B18" t="str">
            <v>28mm</v>
          </cell>
          <cell r="C18" t="str">
            <v>Pcs</v>
          </cell>
          <cell r="D18">
            <v>0</v>
          </cell>
          <cell r="E18">
            <v>26</v>
          </cell>
        </row>
        <row r="19">
          <cell r="A19" t="str">
            <v>15mm Compression Single Check Valve</v>
          </cell>
          <cell r="B19" t="str">
            <v>15mm</v>
          </cell>
          <cell r="C19" t="str">
            <v>Pcs</v>
          </cell>
          <cell r="D19">
            <v>0</v>
          </cell>
          <cell r="E19">
            <v>4.5</v>
          </cell>
        </row>
        <row r="20">
          <cell r="A20" t="str">
            <v>22mm Compression Single Check Valve</v>
          </cell>
          <cell r="B20" t="str">
            <v>22mm</v>
          </cell>
          <cell r="C20" t="str">
            <v>Pcs</v>
          </cell>
          <cell r="D20">
            <v>0</v>
          </cell>
          <cell r="E20">
            <v>8.2</v>
          </cell>
        </row>
        <row r="21">
          <cell r="A21" t="str">
            <v>22mm Compression Double Check Valve</v>
          </cell>
          <cell r="B21" t="str">
            <v>22mm</v>
          </cell>
          <cell r="C21" t="str">
            <v>Pcs</v>
          </cell>
          <cell r="D21">
            <v>0</v>
          </cell>
          <cell r="E21">
            <v>12.9</v>
          </cell>
        </row>
      </sheetData>
      <sheetData sheetId="6"/>
      <sheetData sheetId="7">
        <row r="12">
          <cell r="A12" t="str">
            <v>28mm 2-Port Motorised Zone Valve (S-Plan)</v>
          </cell>
          <cell r="B12" t="str">
            <v>28mm 2-Port</v>
          </cell>
          <cell r="C12" t="str">
            <v>Pcs</v>
          </cell>
        </row>
        <row r="12">
          <cell r="E12">
            <v>54</v>
          </cell>
        </row>
        <row r="21">
          <cell r="A21" t="str">
            <v>Magnetic System Filter 28mm</v>
          </cell>
          <cell r="B21" t="str">
            <v>28mm Magnetic</v>
          </cell>
          <cell r="C21" t="str">
            <v>Pcs</v>
          </cell>
        </row>
        <row r="21">
          <cell r="E21">
            <v>115</v>
          </cell>
        </row>
        <row r="22">
          <cell r="A22" t="str">
            <v>Central Heating Circulation Pump (ErP High Efficiency 15-60)</v>
          </cell>
          <cell r="B22" t="str">
            <v>130mm Port</v>
          </cell>
          <cell r="C22" t="str">
            <v>Pcs</v>
          </cell>
        </row>
        <row r="23">
          <cell r="A23" t="str">
            <v>Automatic Bypass Valve 22mm Straight / Angled</v>
          </cell>
          <cell r="B23" t="str">
            <v>22mm ABV</v>
          </cell>
          <cell r="C23" t="str">
            <v>Pcs</v>
          </cell>
        </row>
        <row r="23">
          <cell r="E23">
            <v>24.5</v>
          </cell>
        </row>
        <row r="25">
          <cell r="A25" t="str">
            <v>Heating Expansion Vessel 24 Litre (Central Heating Red)</v>
          </cell>
          <cell r="B25" t="str">
            <v>24L Red</v>
          </cell>
          <cell r="C25" t="str">
            <v>Pcs</v>
          </cell>
        </row>
        <row r="25">
          <cell r="E25">
            <v>44</v>
          </cell>
        </row>
        <row r="26">
          <cell r="A26" t="str">
            <v>Filling Loop Assembly with Double Check Valve &amp; Gauge</v>
          </cell>
          <cell r="B26" t="str">
            <v>15mm Flexi</v>
          </cell>
          <cell r="C26" t="str">
            <v>Pcs</v>
          </cell>
        </row>
        <row r="26">
          <cell r="E26">
            <v>16.5</v>
          </cell>
        </row>
        <row r="27">
          <cell r="A27" t="str">
            <v>Central Heating Inhibitor Fluid (500ml / 1 Litre Concentrate)</v>
          </cell>
          <cell r="B27" t="str">
            <v>System Chemical</v>
          </cell>
          <cell r="C27" t="str">
            <v>Btl</v>
          </cell>
        </row>
        <row r="27">
          <cell r="E27">
            <v>14</v>
          </cell>
        </row>
        <row r="28">
          <cell r="A28" t="str">
            <v>Central Heating Cleaner / Restorer Fluid (500ml)</v>
          </cell>
          <cell r="B28" t="str">
            <v>System Chemical</v>
          </cell>
          <cell r="C28" t="str">
            <v>Btl</v>
          </cell>
        </row>
        <row r="28">
          <cell r="E28">
            <v>14</v>
          </cell>
        </row>
      </sheetData>
      <sheetData sheetId="8">
        <row r="4">
          <cell r="A4" t="str">
            <v>35mm Rubber Lined M8/M10 Pipe Clip</v>
          </cell>
          <cell r="B4" t="str">
            <v>35mm</v>
          </cell>
          <cell r="C4" t="str">
            <v>Pcs</v>
          </cell>
        </row>
        <row r="4">
          <cell r="E4">
            <v>1.45</v>
          </cell>
        </row>
        <row r="5">
          <cell r="A5" t="str">
            <v>28mm Rubber Lined M8/M10 Pipe Clip</v>
          </cell>
          <cell r="B5" t="str">
            <v>28mm</v>
          </cell>
          <cell r="C5" t="str">
            <v>Pcs</v>
          </cell>
        </row>
        <row r="5">
          <cell r="E5">
            <v>1.25</v>
          </cell>
        </row>
        <row r="6">
          <cell r="A6" t="str">
            <v>22mm Rubber Lined M8/M10 Pipe Clip</v>
          </cell>
          <cell r="B6" t="str">
            <v>22mm</v>
          </cell>
          <cell r="C6" t="str">
            <v>Pcs</v>
          </cell>
        </row>
        <row r="6">
          <cell r="E6">
            <v>1.05</v>
          </cell>
        </row>
        <row r="7">
          <cell r="A7" t="str">
            <v>15mm Rubber Lined M8/M10 Pipe Clip</v>
          </cell>
          <cell r="B7" t="str">
            <v>15mm</v>
          </cell>
          <cell r="C7" t="str">
            <v>Pcs</v>
          </cell>
        </row>
        <row r="7">
          <cell r="E7">
            <v>0.95</v>
          </cell>
        </row>
        <row r="18">
          <cell r="A18" t="str">
            <v>41x41 Slotted Unistrut Channel (3m)</v>
          </cell>
          <cell r="B18" t="str">
            <v>41x41x3m</v>
          </cell>
          <cell r="C18" t="str">
            <v>Length</v>
          </cell>
        </row>
        <row r="18">
          <cell r="E18">
            <v>18.5</v>
          </cell>
        </row>
        <row r="20">
          <cell r="A20" t="str">
            <v>M10 Channel Nut with Long Spring (Zebedee)</v>
          </cell>
          <cell r="B20" t="str">
            <v>M10</v>
          </cell>
          <cell r="C20" t="str">
            <v>Pcs</v>
          </cell>
        </row>
        <row r="20">
          <cell r="E20">
            <v>0.45</v>
          </cell>
        </row>
        <row r="22">
          <cell r="A22" t="str">
            <v>M10 Channel Nut Short / No Spring</v>
          </cell>
          <cell r="B22" t="str">
            <v>M10</v>
          </cell>
          <cell r="C22" t="str">
            <v>Pcs</v>
          </cell>
          <cell r="D22">
            <v>0</v>
          </cell>
          <cell r="E22">
            <v>0.35</v>
          </cell>
        </row>
        <row r="23">
          <cell r="A23" t="str">
            <v>Unistrut Plastic Channel End Caps (Pair)</v>
          </cell>
          <cell r="B23" t="str">
            <v>41x41</v>
          </cell>
          <cell r="C23" t="str">
            <v>Pair</v>
          </cell>
        </row>
        <row r="23">
          <cell r="E23">
            <v>0.85</v>
          </cell>
        </row>
        <row r="24">
          <cell r="A24" t="str">
            <v>M10 Fully Threaded Rod (3m Length)</v>
          </cell>
          <cell r="B24" t="str">
            <v>M10 x 3m</v>
          </cell>
          <cell r="C24" t="str">
            <v>Length</v>
          </cell>
        </row>
        <row r="24">
          <cell r="E24">
            <v>4.8</v>
          </cell>
        </row>
        <row r="26">
          <cell r="A26" t="str">
            <v>M10 Hexagon Full Nuts (Box of 100)</v>
          </cell>
          <cell r="B26" t="str">
            <v>M10</v>
          </cell>
          <cell r="C26" t="str">
            <v>Box</v>
          </cell>
        </row>
        <row r="26">
          <cell r="E26">
            <v>5.5</v>
          </cell>
        </row>
        <row r="28">
          <cell r="A28" t="str">
            <v>M10 Form A Flat Washers (Box of 100)</v>
          </cell>
          <cell r="B28" t="str">
            <v>M10</v>
          </cell>
          <cell r="C28" t="str">
            <v>Box</v>
          </cell>
        </row>
        <row r="28">
          <cell r="E28">
            <v>3.8</v>
          </cell>
        </row>
        <row r="30">
          <cell r="A30" t="str">
            <v>M10 Penny / Repair Washers (Box of 100)</v>
          </cell>
          <cell r="B30" t="str">
            <v>M10 x 30mm</v>
          </cell>
          <cell r="C30" t="str">
            <v>Box</v>
          </cell>
        </row>
        <row r="30">
          <cell r="E30">
            <v>6.2</v>
          </cell>
        </row>
        <row r="34">
          <cell r="A34" t="str">
            <v>Brown Wall Plugs / Rawlplugs (Box of 100)</v>
          </cell>
          <cell r="B34" t="str">
            <v>7mm / Brown</v>
          </cell>
          <cell r="C34" t="str">
            <v>Box</v>
          </cell>
        </row>
        <row r="34">
          <cell r="E34">
            <v>2.8</v>
          </cell>
        </row>
        <row r="35">
          <cell r="A35" t="str">
            <v>Countersunk Wood Screws 5.0 x 50mm (Box of 200)</v>
          </cell>
          <cell r="B35" t="str">
            <v>5.0x50mm</v>
          </cell>
          <cell r="C35" t="str">
            <v>Box</v>
          </cell>
        </row>
        <row r="35">
          <cell r="E35">
            <v>6.5</v>
          </cell>
        </row>
        <row r="36">
          <cell r="A36" t="str">
            <v>Countersunk Wood Screws 4.0 x 40mm (Box of 200)</v>
          </cell>
          <cell r="B36" t="str">
            <v>4.0x40mm</v>
          </cell>
          <cell r="C36" t="str">
            <v>Box</v>
          </cell>
          <cell r="D36">
            <v>0</v>
          </cell>
          <cell r="E36">
            <v>4.8</v>
          </cell>
        </row>
        <row r="37">
          <cell r="A37" t="str">
            <v>M10 x 50mm Concrete Shield Anchors / Rawlbolts</v>
          </cell>
          <cell r="B37" t="str">
            <v>M10 x 50mm</v>
          </cell>
          <cell r="C37" t="str">
            <v>Pcs</v>
          </cell>
        </row>
        <row r="37">
          <cell r="E37">
            <v>1.25</v>
          </cell>
        </row>
      </sheetData>
      <sheetData sheetId="9"/>
      <sheetData sheetId="10"/>
      <sheetData sheetId="11"/>
      <sheetData sheetId="12"/>
      <sheetData sheetId="13">
        <row r="8">
          <cell r="A8" t="str">
            <v>15mm x 19mm Wall Pipe Insulation (2m Length)</v>
          </cell>
          <cell r="B8" t="str">
            <v>15x19mm</v>
          </cell>
          <cell r="C8" t="str">
            <v>Length</v>
          </cell>
        </row>
        <row r="8">
          <cell r="E8">
            <v>2.6</v>
          </cell>
        </row>
        <row r="9">
          <cell r="A9" t="str">
            <v>22mm x 19mm Wall Pipe Insulation (2m Length)</v>
          </cell>
          <cell r="B9" t="str">
            <v>22x19mm</v>
          </cell>
          <cell r="C9" t="str">
            <v>Length</v>
          </cell>
        </row>
        <row r="9">
          <cell r="E9">
            <v>3.2</v>
          </cell>
        </row>
        <row r="10">
          <cell r="A10" t="str">
            <v>28mm x 19mm Wall Pipe Insulation (2m Length)</v>
          </cell>
          <cell r="B10" t="str">
            <v>28x19mm</v>
          </cell>
          <cell r="C10" t="str">
            <v>Length</v>
          </cell>
        </row>
        <row r="10">
          <cell r="E10">
            <v>3.9</v>
          </cell>
        </row>
        <row r="11">
          <cell r="A11" t="str">
            <v>35mm x 19mm Wall Pipe Insulation (2m Length)</v>
          </cell>
          <cell r="B11" t="str">
            <v>35x19mm</v>
          </cell>
          <cell r="C11" t="str">
            <v>Length</v>
          </cell>
        </row>
        <row r="11">
          <cell r="E11">
            <v>4.8</v>
          </cell>
        </row>
        <row r="12">
          <cell r="A12" t="str">
            <v>External Weatherproof Pipe Insulation Tape</v>
          </cell>
          <cell r="B12" t="str">
            <v>50mm x 10m</v>
          </cell>
          <cell r="C12" t="str">
            <v>Roll</v>
          </cell>
          <cell r="D12">
            <v>0</v>
          </cell>
          <cell r="E12">
            <v>9.5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G32" sqref="G32"/>
    </sheetView>
  </sheetViews>
  <sheetFormatPr defaultColWidth="9" defaultRowHeight="16.8" outlineLevelCol="6"/>
  <cols>
    <col min="1" max="1" width="45" style="1" customWidth="1"/>
    <col min="2" max="2" width="15" style="1" customWidth="1"/>
    <col min="3" max="3" width="12" style="1" customWidth="1"/>
    <col min="4" max="4" width="10" style="1" customWidth="1"/>
    <col min="5" max="6" width="16" style="1" customWidth="1"/>
    <col min="7" max="7" width="32" style="1" customWidth="1"/>
    <col min="8" max="16384" width="9" style="1"/>
  </cols>
  <sheetData>
    <row r="1" s="1" customFormat="1" ht="20.4" spans="1:7">
      <c r="A1" s="2" t="s">
        <v>0</v>
      </c>
    </row>
    <row r="3" s="1" customFormat="1" spans="1:7">
      <c r="A3" s="3" t="s">
        <v>1</v>
      </c>
      <c r="B3" s="4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3" t="s">
        <v>7</v>
      </c>
    </row>
    <row r="4" s="1" customFormat="1" spans="1:7">
      <c r="A4" s="5" t="s">
        <v>8</v>
      </c>
      <c r="B4" s="6" t="s">
        <v>9</v>
      </c>
      <c r="C4" s="6" t="s">
        <v>10</v>
      </c>
      <c r="D4" s="6">
        <v>0</v>
      </c>
      <c r="E4" s="7">
        <v>1.45</v>
      </c>
      <c r="F4" s="7">
        <f>D4*E4</f>
        <v>0</v>
      </c>
      <c r="G4" s="5" t="s">
        <v>11</v>
      </c>
    </row>
    <row r="5" s="1" customFormat="1" spans="1:7">
      <c r="A5" s="5" t="s">
        <v>12</v>
      </c>
      <c r="B5" s="6" t="s">
        <v>13</v>
      </c>
      <c r="C5" s="6" t="s">
        <v>10</v>
      </c>
      <c r="D5" s="6">
        <v>5</v>
      </c>
      <c r="E5" s="7">
        <v>1.25</v>
      </c>
      <c r="F5" s="7">
        <f>D5*E5</f>
        <v>6.25</v>
      </c>
      <c r="G5" s="5" t="s">
        <v>11</v>
      </c>
    </row>
    <row r="6" s="1" customFormat="1" spans="1:7">
      <c r="A6" s="5" t="s">
        <v>14</v>
      </c>
      <c r="B6" s="6" t="s">
        <v>15</v>
      </c>
      <c r="C6" s="6" t="s">
        <v>10</v>
      </c>
      <c r="D6" s="6">
        <v>1</v>
      </c>
      <c r="E6" s="7">
        <v>1.05</v>
      </c>
      <c r="F6" s="7">
        <f>D6*E6</f>
        <v>1.05</v>
      </c>
      <c r="G6" s="5" t="s">
        <v>11</v>
      </c>
    </row>
    <row r="7" s="1" customFormat="1" spans="1:7">
      <c r="A7" s="5" t="s">
        <v>16</v>
      </c>
      <c r="B7" s="6" t="s">
        <v>17</v>
      </c>
      <c r="C7" s="6" t="s">
        <v>10</v>
      </c>
      <c r="D7" s="6">
        <v>0</v>
      </c>
      <c r="E7" s="7">
        <v>0.95</v>
      </c>
      <c r="F7" s="7">
        <f>D7*E7</f>
        <v>0</v>
      </c>
      <c r="G7" s="5" t="s">
        <v>11</v>
      </c>
    </row>
    <row r="8" s="1" customFormat="1" spans="1:7">
      <c r="A8" s="5" t="s">
        <v>18</v>
      </c>
      <c r="B8" s="6" t="s">
        <v>19</v>
      </c>
      <c r="C8" s="6" t="s">
        <v>20</v>
      </c>
      <c r="D8" s="6">
        <v>0.33</v>
      </c>
      <c r="E8" s="7">
        <v>18.5</v>
      </c>
      <c r="F8" s="7">
        <f>D8*E8</f>
        <v>6.105</v>
      </c>
      <c r="G8" s="5" t="s">
        <v>21</v>
      </c>
    </row>
    <row r="9" s="1" customFormat="1" spans="1:7">
      <c r="A9" s="5" t="s">
        <v>22</v>
      </c>
      <c r="B9" s="6" t="s">
        <v>23</v>
      </c>
      <c r="C9" s="6" t="s">
        <v>10</v>
      </c>
      <c r="D9" s="6">
        <v>6</v>
      </c>
      <c r="E9" s="7">
        <v>0.45</v>
      </c>
      <c r="F9" s="7">
        <f>D9*E9</f>
        <v>2.7</v>
      </c>
      <c r="G9" s="5" t="s">
        <v>24</v>
      </c>
    </row>
    <row r="10" s="1" customFormat="1" spans="1:7">
      <c r="A10" s="5" t="s">
        <v>25</v>
      </c>
      <c r="B10" s="6" t="s">
        <v>26</v>
      </c>
      <c r="C10" s="6" t="s">
        <v>27</v>
      </c>
      <c r="D10" s="6">
        <v>2</v>
      </c>
      <c r="E10" s="7">
        <v>0.85</v>
      </c>
      <c r="F10" s="7">
        <f>D10*E10</f>
        <v>1.7</v>
      </c>
      <c r="G10" s="5" t="s">
        <v>28</v>
      </c>
    </row>
    <row r="11" s="1" customFormat="1" spans="1:7">
      <c r="A11" s="5" t="s">
        <v>29</v>
      </c>
      <c r="B11" s="6" t="s">
        <v>30</v>
      </c>
      <c r="C11" s="6" t="s">
        <v>20</v>
      </c>
      <c r="D11" s="6">
        <v>1</v>
      </c>
      <c r="E11" s="7">
        <v>4.8</v>
      </c>
      <c r="F11" s="7">
        <f>D11*E11</f>
        <v>4.8</v>
      </c>
      <c r="G11" s="5" t="s">
        <v>31</v>
      </c>
    </row>
    <row r="12" s="1" customFormat="1" spans="1:7">
      <c r="A12" s="5" t="s">
        <v>32</v>
      </c>
      <c r="B12" s="6" t="s">
        <v>23</v>
      </c>
      <c r="C12" s="6" t="s">
        <v>33</v>
      </c>
      <c r="D12" s="6">
        <v>0.33</v>
      </c>
      <c r="E12" s="7">
        <v>5.5</v>
      </c>
      <c r="F12" s="7">
        <f>D12*E12</f>
        <v>1.815</v>
      </c>
      <c r="G12" s="5" t="s">
        <v>34</v>
      </c>
    </row>
    <row r="13" s="1" customFormat="1" spans="1:7">
      <c r="A13" s="5" t="s">
        <v>35</v>
      </c>
      <c r="B13" s="6" t="s">
        <v>23</v>
      </c>
      <c r="C13" s="6" t="s">
        <v>33</v>
      </c>
      <c r="D13" s="6">
        <v>0.33</v>
      </c>
      <c r="E13" s="7">
        <v>3.8</v>
      </c>
      <c r="F13" s="7">
        <f>D13*E13</f>
        <v>1.254</v>
      </c>
      <c r="G13" s="5" t="s">
        <v>36</v>
      </c>
    </row>
    <row r="14" s="1" customFormat="1" spans="1:7">
      <c r="A14" s="5" t="s">
        <v>37</v>
      </c>
      <c r="B14" s="6" t="s">
        <v>38</v>
      </c>
      <c r="C14" s="6" t="s">
        <v>33</v>
      </c>
      <c r="D14" s="6">
        <v>0.33</v>
      </c>
      <c r="E14" s="7">
        <v>2.8</v>
      </c>
      <c r="F14" s="7">
        <f>D14*E14</f>
        <v>0.924</v>
      </c>
      <c r="G14" s="5" t="s">
        <v>39</v>
      </c>
    </row>
    <row r="15" s="1" customFormat="1" spans="1:7">
      <c r="A15" s="5" t="s">
        <v>40</v>
      </c>
      <c r="B15" s="6" t="s">
        <v>41</v>
      </c>
      <c r="C15" s="6" t="s">
        <v>33</v>
      </c>
      <c r="D15" s="6">
        <v>0.33</v>
      </c>
      <c r="E15" s="7">
        <v>6.5</v>
      </c>
      <c r="F15" s="7">
        <f>D15*E15</f>
        <v>2.145</v>
      </c>
      <c r="G15" s="5" t="s">
        <v>42</v>
      </c>
    </row>
    <row r="16" s="1" customFormat="1" spans="1:7">
      <c r="A16" s="37" t="s">
        <v>43</v>
      </c>
      <c r="B16" s="38" t="s">
        <v>44</v>
      </c>
      <c r="C16" s="38" t="s">
        <v>10</v>
      </c>
      <c r="D16" s="38">
        <v>2</v>
      </c>
      <c r="E16" s="39">
        <v>1.25</v>
      </c>
      <c r="F16" s="39">
        <f>D16*E16</f>
        <v>2.5</v>
      </c>
      <c r="G16" s="37" t="s">
        <v>45</v>
      </c>
    </row>
    <row r="17" s="1" customFormat="1" spans="1:7">
      <c r="A17" s="51"/>
      <c r="B17" s="52"/>
      <c r="C17" s="52"/>
      <c r="D17" s="38"/>
      <c r="E17" s="39"/>
      <c r="F17" s="39"/>
      <c r="G17" s="53"/>
    </row>
    <row r="18" s="1" customFormat="1" spans="1:7">
      <c r="A18" s="54"/>
      <c r="B18" s="55"/>
      <c r="C18" s="55"/>
      <c r="D18" s="38"/>
      <c r="E18" s="39"/>
      <c r="F18" s="39"/>
      <c r="G18" s="56"/>
    </row>
    <row r="19" s="1" customFormat="1" spans="1:7">
      <c r="A19" s="54" t="s">
        <v>46</v>
      </c>
      <c r="B19" s="55"/>
      <c r="C19" s="55"/>
      <c r="D19" s="38">
        <v>1</v>
      </c>
      <c r="E19" s="39">
        <v>70</v>
      </c>
      <c r="F19" s="39">
        <f>D19*E19</f>
        <v>70</v>
      </c>
      <c r="G19" s="56"/>
    </row>
    <row r="20" s="1" customFormat="1" spans="1:7">
      <c r="A20" s="54"/>
      <c r="B20" s="55"/>
      <c r="C20" s="55"/>
      <c r="D20" s="38"/>
      <c r="E20" s="39"/>
      <c r="F20" s="39"/>
      <c r="G20" s="56"/>
    </row>
    <row r="21" s="1" customFormat="1" spans="1:7">
      <c r="A21" s="54"/>
      <c r="B21" s="55"/>
      <c r="C21" s="55"/>
      <c r="D21" s="55"/>
      <c r="E21" s="39"/>
      <c r="F21" s="39"/>
      <c r="G21" s="56"/>
    </row>
    <row r="22" s="1" customFormat="1" ht="17.55" spans="1:7">
      <c r="A22" s="45" t="s">
        <v>47</v>
      </c>
      <c r="F22" s="46">
        <f>SUM(F4:F21)</f>
        <v>101.243</v>
      </c>
    </row>
    <row r="23" s="1" customFormat="1" ht="17.55"/>
  </sheetData>
  <mergeCells count="1">
    <mergeCell ref="A1:G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C37" sqref="C37"/>
    </sheetView>
  </sheetViews>
  <sheetFormatPr defaultColWidth="9" defaultRowHeight="16.8" outlineLevelCol="6"/>
  <cols>
    <col min="1" max="1" width="45" style="1" customWidth="1"/>
    <col min="2" max="2" width="15" style="1" customWidth="1"/>
    <col min="3" max="3" width="12" style="1" customWidth="1"/>
    <col min="4" max="4" width="10" style="1" customWidth="1"/>
    <col min="5" max="6" width="16" style="1" customWidth="1"/>
    <col min="7" max="7" width="32" style="1" customWidth="1"/>
    <col min="8" max="16384" width="9" style="1"/>
  </cols>
  <sheetData>
    <row r="1" s="1" customFormat="1" ht="20.4" spans="1:7">
      <c r="A1" s="2" t="s">
        <v>48</v>
      </c>
    </row>
    <row r="3" s="1" customFormat="1" spans="1:7">
      <c r="A3" s="3" t="s">
        <v>1</v>
      </c>
      <c r="B3" s="4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3" t="s">
        <v>7</v>
      </c>
    </row>
    <row r="4" s="1" customFormat="1" spans="1:7">
      <c r="A4" s="5" t="s">
        <v>49</v>
      </c>
      <c r="B4" s="6" t="s">
        <v>50</v>
      </c>
      <c r="C4" s="6" t="s">
        <v>10</v>
      </c>
      <c r="D4" s="6">
        <v>0</v>
      </c>
      <c r="E4" s="7">
        <v>1.45</v>
      </c>
      <c r="F4" s="7">
        <f>D4*E4</f>
        <v>0</v>
      </c>
      <c r="G4" s="5" t="s">
        <v>11</v>
      </c>
    </row>
    <row r="5" s="1" customFormat="1" spans="1:7">
      <c r="A5" s="5" t="s">
        <v>51</v>
      </c>
      <c r="B5" s="6" t="s">
        <v>52</v>
      </c>
      <c r="C5" s="6" t="s">
        <v>10</v>
      </c>
      <c r="D5" s="6">
        <v>0</v>
      </c>
      <c r="E5" s="7">
        <v>1.45</v>
      </c>
      <c r="F5" s="7">
        <f>D5*E5</f>
        <v>0</v>
      </c>
      <c r="G5" s="5" t="s">
        <v>11</v>
      </c>
    </row>
    <row r="6" s="1" customFormat="1" spans="1:7">
      <c r="A6" s="5" t="s">
        <v>53</v>
      </c>
      <c r="B6" s="6" t="s">
        <v>54</v>
      </c>
      <c r="C6" s="6" t="s">
        <v>10</v>
      </c>
      <c r="D6" s="6">
        <v>0</v>
      </c>
      <c r="E6" s="7">
        <v>1.45</v>
      </c>
      <c r="F6" s="7">
        <f>D6*E6</f>
        <v>0</v>
      </c>
      <c r="G6" s="5" t="s">
        <v>11</v>
      </c>
    </row>
    <row r="7" s="1" customFormat="1" spans="1:7">
      <c r="A7" s="5" t="s">
        <v>8</v>
      </c>
      <c r="B7" s="6" t="s">
        <v>55</v>
      </c>
      <c r="C7" s="6" t="s">
        <v>10</v>
      </c>
      <c r="D7" s="6">
        <v>0</v>
      </c>
      <c r="E7" s="7">
        <v>1.45</v>
      </c>
      <c r="F7" s="7">
        <f>D7*E7</f>
        <v>0</v>
      </c>
      <c r="G7" s="5" t="s">
        <v>11</v>
      </c>
    </row>
    <row r="8" s="1" customFormat="1" spans="1:7">
      <c r="A8" s="5" t="s">
        <v>18</v>
      </c>
      <c r="B8" s="6" t="s">
        <v>19</v>
      </c>
      <c r="C8" s="6" t="s">
        <v>20</v>
      </c>
      <c r="D8" s="6">
        <v>0.1</v>
      </c>
      <c r="E8" s="7">
        <v>18.5</v>
      </c>
      <c r="F8" s="7">
        <f>D8*E8</f>
        <v>1.85</v>
      </c>
      <c r="G8" s="5" t="s">
        <v>21</v>
      </c>
    </row>
    <row r="9" s="1" customFormat="1" spans="1:7">
      <c r="A9" s="5" t="s">
        <v>22</v>
      </c>
      <c r="B9" s="6" t="s">
        <v>23</v>
      </c>
      <c r="C9" s="6" t="s">
        <v>10</v>
      </c>
      <c r="D9" s="6">
        <v>1</v>
      </c>
      <c r="E9" s="7">
        <v>0.45</v>
      </c>
      <c r="F9" s="7">
        <f>D9*E9</f>
        <v>0.45</v>
      </c>
      <c r="G9" s="5" t="s">
        <v>24</v>
      </c>
    </row>
    <row r="10" s="1" customFormat="1" spans="1:7">
      <c r="A10" s="5" t="s">
        <v>25</v>
      </c>
      <c r="B10" s="6" t="s">
        <v>26</v>
      </c>
      <c r="C10" s="6" t="s">
        <v>27</v>
      </c>
      <c r="D10" s="6">
        <v>2</v>
      </c>
      <c r="E10" s="7">
        <v>0.85</v>
      </c>
      <c r="F10" s="7">
        <f>D10*E10</f>
        <v>1.7</v>
      </c>
      <c r="G10" s="5" t="s">
        <v>28</v>
      </c>
    </row>
    <row r="11" s="1" customFormat="1" spans="1:7">
      <c r="A11" s="5" t="s">
        <v>29</v>
      </c>
      <c r="B11" s="6" t="s">
        <v>30</v>
      </c>
      <c r="C11" s="6" t="s">
        <v>20</v>
      </c>
      <c r="D11" s="6">
        <v>0.1</v>
      </c>
      <c r="E11" s="7">
        <v>4.8</v>
      </c>
      <c r="F11" s="7">
        <f>D11*E11</f>
        <v>0.48</v>
      </c>
      <c r="G11" s="5" t="s">
        <v>31</v>
      </c>
    </row>
    <row r="12" s="1" customFormat="1" spans="1:7">
      <c r="A12" s="5" t="s">
        <v>32</v>
      </c>
      <c r="B12" s="6" t="s">
        <v>23</v>
      </c>
      <c r="C12" s="6" t="s">
        <v>33</v>
      </c>
      <c r="D12" s="6">
        <v>0.1</v>
      </c>
      <c r="E12" s="7">
        <v>5.5</v>
      </c>
      <c r="F12" s="7">
        <f>D12*E12</f>
        <v>0.55</v>
      </c>
      <c r="G12" s="5" t="s">
        <v>34</v>
      </c>
    </row>
    <row r="13" s="1" customFormat="1" spans="1:7">
      <c r="A13" s="5" t="s">
        <v>35</v>
      </c>
      <c r="B13" s="6" t="s">
        <v>23</v>
      </c>
      <c r="C13" s="6" t="s">
        <v>33</v>
      </c>
      <c r="D13" s="6">
        <v>0.1</v>
      </c>
      <c r="E13" s="7">
        <v>3.8</v>
      </c>
      <c r="F13" s="7">
        <f>D13*E13</f>
        <v>0.38</v>
      </c>
      <c r="G13" s="5" t="s">
        <v>36</v>
      </c>
    </row>
    <row r="14" s="1" customFormat="1" spans="1:7">
      <c r="A14" s="5" t="s">
        <v>37</v>
      </c>
      <c r="B14" s="6" t="s">
        <v>38</v>
      </c>
      <c r="C14" s="6" t="s">
        <v>33</v>
      </c>
      <c r="D14" s="6">
        <v>0.1</v>
      </c>
      <c r="E14" s="7">
        <v>2.8</v>
      </c>
      <c r="F14" s="7">
        <f t="shared" ref="F14:F19" si="0">D14*E14</f>
        <v>0.28</v>
      </c>
      <c r="G14" s="5" t="s">
        <v>39</v>
      </c>
    </row>
    <row r="15" s="1" customFormat="1" spans="1:7">
      <c r="A15" s="5" t="s">
        <v>40</v>
      </c>
      <c r="B15" s="6" t="s">
        <v>41</v>
      </c>
      <c r="C15" s="6" t="s">
        <v>33</v>
      </c>
      <c r="D15" s="6">
        <v>0.1</v>
      </c>
      <c r="E15" s="7">
        <v>6.5</v>
      </c>
      <c r="F15" s="7">
        <f t="shared" si="0"/>
        <v>0.65</v>
      </c>
      <c r="G15" s="5" t="s">
        <v>42</v>
      </c>
    </row>
    <row r="16" s="1" customFormat="1" spans="1:7">
      <c r="A16" s="37" t="s">
        <v>43</v>
      </c>
      <c r="B16" s="38" t="s">
        <v>44</v>
      </c>
      <c r="C16" s="38" t="s">
        <v>10</v>
      </c>
      <c r="D16" s="38">
        <v>2</v>
      </c>
      <c r="E16" s="39">
        <v>1.25</v>
      </c>
      <c r="F16" s="39">
        <f t="shared" si="0"/>
        <v>2.5</v>
      </c>
      <c r="G16" s="37" t="s">
        <v>45</v>
      </c>
    </row>
    <row r="17" s="1" customFormat="1" spans="1:7">
      <c r="A17" s="40"/>
      <c r="B17" s="41"/>
      <c r="C17" s="41"/>
      <c r="D17" s="41"/>
      <c r="E17" s="43"/>
      <c r="F17" s="44"/>
      <c r="G17" s="42"/>
    </row>
    <row r="18" s="1" customFormat="1" spans="1:7">
      <c r="A18" s="40"/>
      <c r="B18" s="41"/>
      <c r="C18" s="41"/>
      <c r="D18" s="41"/>
      <c r="E18" s="43"/>
      <c r="F18" s="44"/>
      <c r="G18" s="42"/>
    </row>
    <row r="19" s="1" customFormat="1" spans="1:7">
      <c r="A19" s="37" t="s">
        <v>56</v>
      </c>
      <c r="B19" s="38"/>
      <c r="C19" s="38"/>
      <c r="D19" s="38">
        <v>0.5</v>
      </c>
      <c r="E19" s="39">
        <v>70</v>
      </c>
      <c r="F19" s="39">
        <f t="shared" si="0"/>
        <v>35</v>
      </c>
      <c r="G19" s="37"/>
    </row>
    <row r="20" s="1" customFormat="1" spans="1:7">
      <c r="A20" s="40"/>
      <c r="B20" s="41"/>
      <c r="C20" s="41"/>
      <c r="D20" s="41"/>
      <c r="E20" s="43"/>
      <c r="F20" s="44"/>
      <c r="G20" s="42"/>
    </row>
    <row r="21" s="1" customFormat="1" spans="1:7">
      <c r="A21" s="40"/>
      <c r="B21" s="41"/>
      <c r="C21" s="41"/>
      <c r="D21" s="41"/>
      <c r="E21" s="43"/>
      <c r="F21" s="44"/>
      <c r="G21" s="42"/>
    </row>
    <row r="22" s="1" customFormat="1" ht="17.55" spans="1:7">
      <c r="A22" s="45" t="s">
        <v>47</v>
      </c>
      <c r="B22" s="1"/>
      <c r="C22" s="1"/>
      <c r="D22" s="1"/>
      <c r="E22" s="1"/>
      <c r="F22" s="46">
        <f>SUM(F4:F21)</f>
        <v>43.84</v>
      </c>
    </row>
    <row r="23" s="1" customFormat="1" ht="17.55"/>
  </sheetData>
  <mergeCells count="1">
    <mergeCell ref="A1:G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D38" sqref="D38"/>
    </sheetView>
  </sheetViews>
  <sheetFormatPr defaultColWidth="9" defaultRowHeight="16.8" outlineLevelCol="6"/>
  <cols>
    <col min="1" max="1" width="45" style="1" customWidth="1"/>
    <col min="2" max="2" width="15" style="1" customWidth="1"/>
    <col min="3" max="3" width="12" style="1" customWidth="1"/>
    <col min="4" max="4" width="10" style="1" customWidth="1"/>
    <col min="5" max="6" width="16" style="1" customWidth="1"/>
    <col min="7" max="7" width="32" style="1" customWidth="1"/>
    <col min="8" max="16384" width="9" style="1"/>
  </cols>
  <sheetData>
    <row r="1" s="1" customFormat="1" ht="20.4" spans="1:7">
      <c r="A1" s="2" t="s">
        <v>57</v>
      </c>
    </row>
    <row r="3" s="1" customFormat="1" spans="1:7">
      <c r="A3" s="3" t="s">
        <v>1</v>
      </c>
      <c r="B3" s="4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3" t="s">
        <v>7</v>
      </c>
    </row>
    <row r="4" s="1" customFormat="1" spans="1:7">
      <c r="A4" s="5" t="s">
        <v>49</v>
      </c>
      <c r="B4" s="6" t="s">
        <v>50</v>
      </c>
      <c r="C4" s="6" t="s">
        <v>10</v>
      </c>
      <c r="D4" s="6">
        <v>1</v>
      </c>
      <c r="E4" s="7">
        <v>1.45</v>
      </c>
      <c r="F4" s="47">
        <f>D4*E4</f>
        <v>1.45</v>
      </c>
      <c r="G4" s="5" t="s">
        <v>11</v>
      </c>
    </row>
    <row r="5" s="1" customFormat="1" spans="1:7">
      <c r="A5" s="5" t="s">
        <v>51</v>
      </c>
      <c r="B5" s="6" t="s">
        <v>52</v>
      </c>
      <c r="C5" s="6" t="s">
        <v>10</v>
      </c>
      <c r="D5" s="6">
        <v>1</v>
      </c>
      <c r="E5" s="7">
        <v>1.45</v>
      </c>
      <c r="F5" s="47">
        <f>D5*E5</f>
        <v>1.45</v>
      </c>
      <c r="G5" s="5" t="s">
        <v>11</v>
      </c>
    </row>
    <row r="6" s="1" customFormat="1" spans="1:7">
      <c r="A6" s="5" t="s">
        <v>53</v>
      </c>
      <c r="B6" s="6" t="s">
        <v>54</v>
      </c>
      <c r="C6" s="6" t="s">
        <v>10</v>
      </c>
      <c r="D6" s="6">
        <v>1</v>
      </c>
      <c r="E6" s="7">
        <v>1.45</v>
      </c>
      <c r="F6" s="47">
        <f>D6*E6</f>
        <v>1.45</v>
      </c>
      <c r="G6" s="5" t="s">
        <v>11</v>
      </c>
    </row>
    <row r="7" s="1" customFormat="1" spans="1:7">
      <c r="A7" s="5" t="s">
        <v>8</v>
      </c>
      <c r="B7" s="6" t="s">
        <v>55</v>
      </c>
      <c r="C7" s="6" t="s">
        <v>10</v>
      </c>
      <c r="D7" s="6">
        <v>1</v>
      </c>
      <c r="E7" s="7">
        <v>1.45</v>
      </c>
      <c r="F7" s="47">
        <f>D7*E7</f>
        <v>1.45</v>
      </c>
      <c r="G7" s="5" t="s">
        <v>11</v>
      </c>
    </row>
    <row r="8" s="1" customFormat="1" spans="1:7">
      <c r="A8" s="5" t="s">
        <v>18</v>
      </c>
      <c r="B8" s="6" t="s">
        <v>19</v>
      </c>
      <c r="C8" s="6" t="s">
        <v>20</v>
      </c>
      <c r="D8" s="6">
        <v>0.2</v>
      </c>
      <c r="E8" s="7">
        <v>18.5</v>
      </c>
      <c r="F8" s="47">
        <f>D8*E8</f>
        <v>3.7</v>
      </c>
      <c r="G8" s="5" t="s">
        <v>21</v>
      </c>
    </row>
    <row r="9" s="1" customFormat="1" spans="1:7">
      <c r="A9" s="5" t="s">
        <v>22</v>
      </c>
      <c r="B9" s="6" t="s">
        <v>23</v>
      </c>
      <c r="C9" s="6" t="s">
        <v>10</v>
      </c>
      <c r="D9" s="6">
        <v>4</v>
      </c>
      <c r="E9" s="7">
        <v>0.45</v>
      </c>
      <c r="F9" s="47">
        <f>D9*E9</f>
        <v>1.8</v>
      </c>
      <c r="G9" s="5" t="s">
        <v>24</v>
      </c>
    </row>
    <row r="10" s="1" customFormat="1" spans="1:7">
      <c r="A10" s="5" t="s">
        <v>25</v>
      </c>
      <c r="B10" s="6" t="s">
        <v>26</v>
      </c>
      <c r="C10" s="6" t="s">
        <v>27</v>
      </c>
      <c r="D10" s="6">
        <v>2</v>
      </c>
      <c r="E10" s="7">
        <v>0.85</v>
      </c>
      <c r="F10" s="47">
        <f>D10*E10</f>
        <v>1.7</v>
      </c>
      <c r="G10" s="5" t="s">
        <v>28</v>
      </c>
    </row>
    <row r="11" s="1" customFormat="1" spans="1:7">
      <c r="A11" s="5" t="s">
        <v>29</v>
      </c>
      <c r="B11" s="6" t="s">
        <v>30</v>
      </c>
      <c r="C11" s="6" t="s">
        <v>20</v>
      </c>
      <c r="D11" s="6">
        <v>0.2</v>
      </c>
      <c r="E11" s="7">
        <v>4.8</v>
      </c>
      <c r="F11" s="47">
        <f>D11*E11</f>
        <v>0.96</v>
      </c>
      <c r="G11" s="5" t="s">
        <v>31</v>
      </c>
    </row>
    <row r="12" s="1" customFormat="1" spans="1:7">
      <c r="A12" s="5" t="s">
        <v>32</v>
      </c>
      <c r="B12" s="6" t="s">
        <v>23</v>
      </c>
      <c r="C12" s="6" t="s">
        <v>33</v>
      </c>
      <c r="D12" s="6">
        <v>0.2</v>
      </c>
      <c r="E12" s="7">
        <v>5.5</v>
      </c>
      <c r="F12" s="47">
        <f>D12*E12</f>
        <v>1.1</v>
      </c>
      <c r="G12" s="5" t="s">
        <v>34</v>
      </c>
    </row>
    <row r="13" s="1" customFormat="1" spans="1:7">
      <c r="A13" s="5" t="s">
        <v>35</v>
      </c>
      <c r="B13" s="6" t="s">
        <v>23</v>
      </c>
      <c r="C13" s="6" t="s">
        <v>33</v>
      </c>
      <c r="D13" s="6">
        <v>0.2</v>
      </c>
      <c r="E13" s="7">
        <v>3.8</v>
      </c>
      <c r="F13" s="47">
        <f>D13*E13</f>
        <v>0.76</v>
      </c>
      <c r="G13" s="5" t="s">
        <v>36</v>
      </c>
    </row>
    <row r="14" s="1" customFormat="1" spans="1:7">
      <c r="A14" s="5" t="s">
        <v>37</v>
      </c>
      <c r="B14" s="6" t="s">
        <v>38</v>
      </c>
      <c r="C14" s="6" t="s">
        <v>33</v>
      </c>
      <c r="D14" s="6">
        <v>0.2</v>
      </c>
      <c r="E14" s="7">
        <v>2.8</v>
      </c>
      <c r="F14" s="47">
        <f>D14*E14</f>
        <v>0.56</v>
      </c>
      <c r="G14" s="5" t="s">
        <v>39</v>
      </c>
    </row>
    <row r="15" s="1" customFormat="1" spans="1:7">
      <c r="A15" s="5" t="s">
        <v>40</v>
      </c>
      <c r="B15" s="6" t="s">
        <v>41</v>
      </c>
      <c r="C15" s="6" t="s">
        <v>33</v>
      </c>
      <c r="D15" s="6">
        <v>0.1</v>
      </c>
      <c r="E15" s="7">
        <v>6.5</v>
      </c>
      <c r="F15" s="47">
        <f>D15*E15</f>
        <v>0.65</v>
      </c>
      <c r="G15" s="5" t="s">
        <v>42</v>
      </c>
    </row>
    <row r="16" s="1" customFormat="1" spans="1:7">
      <c r="A16" s="37" t="s">
        <v>43</v>
      </c>
      <c r="B16" s="38" t="s">
        <v>44</v>
      </c>
      <c r="C16" s="38" t="s">
        <v>10</v>
      </c>
      <c r="D16" s="38">
        <v>2</v>
      </c>
      <c r="E16" s="39">
        <v>1.25</v>
      </c>
      <c r="F16" s="48">
        <f>D16*E16</f>
        <v>2.5</v>
      </c>
      <c r="G16" s="37" t="s">
        <v>45</v>
      </c>
    </row>
    <row r="17" s="36" customFormat="1" spans="1:7">
      <c r="A17" s="40"/>
      <c r="B17" s="41"/>
      <c r="C17" s="41"/>
      <c r="D17" s="38"/>
      <c r="E17" s="39"/>
      <c r="F17" s="48"/>
      <c r="G17" s="42"/>
    </row>
    <row r="18" s="36" customFormat="1" spans="1:7">
      <c r="A18" s="40"/>
      <c r="B18" s="41"/>
      <c r="C18" s="41"/>
      <c r="D18" s="38"/>
      <c r="E18" s="39"/>
      <c r="F18" s="48"/>
      <c r="G18" s="42"/>
    </row>
    <row r="19" s="36" customFormat="1" spans="1:7">
      <c r="A19" s="40" t="s">
        <v>56</v>
      </c>
      <c r="B19" s="41"/>
      <c r="C19" s="41"/>
      <c r="D19" s="38">
        <v>1</v>
      </c>
      <c r="E19" s="39">
        <v>70</v>
      </c>
      <c r="F19" s="48">
        <f>D19*E19</f>
        <v>70</v>
      </c>
      <c r="G19" s="42"/>
    </row>
    <row r="20" s="36" customFormat="1" spans="1:7">
      <c r="A20" s="40"/>
      <c r="B20" s="41"/>
      <c r="C20" s="41"/>
      <c r="D20" s="41"/>
      <c r="E20" s="43"/>
      <c r="F20" s="49"/>
      <c r="G20" s="42"/>
    </row>
    <row r="21" s="36" customFormat="1" spans="1:7">
      <c r="A21" s="40"/>
      <c r="B21" s="41"/>
      <c r="C21" s="41"/>
      <c r="D21" s="41"/>
      <c r="E21" s="43"/>
      <c r="F21" s="49"/>
      <c r="G21" s="42"/>
    </row>
    <row r="22" s="1" customFormat="1" spans="1:7">
      <c r="A22" s="45" t="s">
        <v>47</v>
      </c>
      <c r="F22" s="50">
        <f>SUM(F4:F21)</f>
        <v>89.53</v>
      </c>
    </row>
    <row r="23" s="1" customFormat="1" ht="17.55"/>
  </sheetData>
  <mergeCells count="1">
    <mergeCell ref="A1:G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J38" sqref="J38"/>
    </sheetView>
  </sheetViews>
  <sheetFormatPr defaultColWidth="9" defaultRowHeight="16.8" outlineLevelCol="6"/>
  <cols>
    <col min="1" max="1" width="45" style="1" customWidth="1"/>
    <col min="2" max="2" width="15" style="1" customWidth="1"/>
    <col min="3" max="3" width="12" style="1" customWidth="1"/>
    <col min="4" max="4" width="10" style="1" customWidth="1"/>
    <col min="5" max="6" width="16" style="1" customWidth="1"/>
    <col min="7" max="7" width="32" style="1" customWidth="1"/>
    <col min="8" max="16384" width="9" style="1"/>
  </cols>
  <sheetData>
    <row r="1" s="1" customFormat="1" ht="20.4" spans="1:7">
      <c r="A1" s="2" t="s">
        <v>58</v>
      </c>
    </row>
    <row r="3" s="1" customFormat="1" spans="1:7">
      <c r="A3" s="3" t="s">
        <v>1</v>
      </c>
      <c r="B3" s="4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3" t="s">
        <v>7</v>
      </c>
    </row>
    <row r="4" s="1" customFormat="1" spans="1:7">
      <c r="A4" s="5" t="s">
        <v>49</v>
      </c>
      <c r="B4" s="6" t="s">
        <v>50</v>
      </c>
      <c r="C4" s="6" t="s">
        <v>10</v>
      </c>
      <c r="D4" s="6">
        <v>3</v>
      </c>
      <c r="E4" s="7">
        <v>1.45</v>
      </c>
      <c r="F4" s="7">
        <v>1.45</v>
      </c>
      <c r="G4" s="5" t="s">
        <v>11</v>
      </c>
    </row>
    <row r="5" s="1" customFormat="1" spans="1:7">
      <c r="A5" s="5" t="s">
        <v>51</v>
      </c>
      <c r="B5" s="6" t="s">
        <v>52</v>
      </c>
      <c r="C5" s="6" t="s">
        <v>10</v>
      </c>
      <c r="D5" s="6">
        <v>3</v>
      </c>
      <c r="E5" s="7">
        <v>1.45</v>
      </c>
      <c r="F5" s="7">
        <v>1.45</v>
      </c>
      <c r="G5" s="5" t="s">
        <v>11</v>
      </c>
    </row>
    <row r="6" s="1" customFormat="1" spans="1:7">
      <c r="A6" s="5" t="s">
        <v>53</v>
      </c>
      <c r="B6" s="6" t="s">
        <v>54</v>
      </c>
      <c r="C6" s="6" t="s">
        <v>10</v>
      </c>
      <c r="D6" s="6">
        <v>1</v>
      </c>
      <c r="E6" s="7">
        <v>1.45</v>
      </c>
      <c r="F6" s="7">
        <v>1.45</v>
      </c>
      <c r="G6" s="5" t="s">
        <v>11</v>
      </c>
    </row>
    <row r="7" s="1" customFormat="1" spans="1:7">
      <c r="A7" s="5" t="s">
        <v>8</v>
      </c>
      <c r="B7" s="6" t="s">
        <v>9</v>
      </c>
      <c r="C7" s="6" t="s">
        <v>10</v>
      </c>
      <c r="D7" s="6">
        <v>8</v>
      </c>
      <c r="E7" s="7">
        <v>1.45</v>
      </c>
      <c r="F7" s="7">
        <f>D7*E7</f>
        <v>11.6</v>
      </c>
      <c r="G7" s="5" t="s">
        <v>11</v>
      </c>
    </row>
    <row r="8" s="1" customFormat="1" spans="1:7">
      <c r="A8" s="5" t="s">
        <v>12</v>
      </c>
      <c r="B8" s="6" t="s">
        <v>13</v>
      </c>
      <c r="C8" s="6" t="s">
        <v>10</v>
      </c>
      <c r="D8" s="6">
        <v>5</v>
      </c>
      <c r="E8" s="7">
        <v>1.25</v>
      </c>
      <c r="F8" s="7">
        <f>D8*E8</f>
        <v>6.25</v>
      </c>
      <c r="G8" s="5" t="s">
        <v>11</v>
      </c>
    </row>
    <row r="9" s="1" customFormat="1" spans="1:7">
      <c r="A9" s="5" t="s">
        <v>14</v>
      </c>
      <c r="B9" s="6" t="s">
        <v>15</v>
      </c>
      <c r="C9" s="6" t="s">
        <v>10</v>
      </c>
      <c r="D9" s="6">
        <v>2</v>
      </c>
      <c r="E9" s="7">
        <v>1.05</v>
      </c>
      <c r="F9" s="7">
        <f>D9*E9</f>
        <v>2.1</v>
      </c>
      <c r="G9" s="5" t="s">
        <v>11</v>
      </c>
    </row>
    <row r="10" s="1" customFormat="1" spans="1:7">
      <c r="A10" s="5" t="s">
        <v>16</v>
      </c>
      <c r="B10" s="6" t="s">
        <v>17</v>
      </c>
      <c r="C10" s="6" t="s">
        <v>10</v>
      </c>
      <c r="D10" s="6">
        <v>0</v>
      </c>
      <c r="E10" s="7">
        <v>0.95</v>
      </c>
      <c r="F10" s="7">
        <f>D10*E10</f>
        <v>0</v>
      </c>
      <c r="G10" s="5" t="s">
        <v>11</v>
      </c>
    </row>
    <row r="11" s="1" customFormat="1" spans="1:7">
      <c r="A11" s="5" t="s">
        <v>18</v>
      </c>
      <c r="B11" s="6" t="s">
        <v>19</v>
      </c>
      <c r="C11" s="6" t="s">
        <v>20</v>
      </c>
      <c r="D11" s="6">
        <v>1</v>
      </c>
      <c r="E11" s="7">
        <v>18.5</v>
      </c>
      <c r="F11" s="7">
        <f>D11*E11</f>
        <v>18.5</v>
      </c>
      <c r="G11" s="5" t="s">
        <v>21</v>
      </c>
    </row>
    <row r="12" s="1" customFormat="1" spans="1:7">
      <c r="A12" s="5" t="s">
        <v>22</v>
      </c>
      <c r="B12" s="6" t="s">
        <v>23</v>
      </c>
      <c r="C12" s="6" t="s">
        <v>10</v>
      </c>
      <c r="D12" s="6">
        <v>22</v>
      </c>
      <c r="E12" s="7">
        <v>0.45</v>
      </c>
      <c r="F12" s="7">
        <f>D12*E12</f>
        <v>9.9</v>
      </c>
      <c r="G12" s="5" t="s">
        <v>24</v>
      </c>
    </row>
    <row r="13" s="1" customFormat="1" spans="1:7">
      <c r="A13" s="5" t="s">
        <v>25</v>
      </c>
      <c r="B13" s="6" t="s">
        <v>26</v>
      </c>
      <c r="C13" s="6" t="s">
        <v>27</v>
      </c>
      <c r="D13" s="6">
        <v>6</v>
      </c>
      <c r="E13" s="7">
        <v>0.85</v>
      </c>
      <c r="F13" s="7">
        <f>D13*E13</f>
        <v>5.1</v>
      </c>
      <c r="G13" s="5" t="s">
        <v>28</v>
      </c>
    </row>
    <row r="14" s="1" customFormat="1" spans="1:7">
      <c r="A14" s="5" t="s">
        <v>29</v>
      </c>
      <c r="B14" s="6" t="s">
        <v>30</v>
      </c>
      <c r="C14" s="6" t="s">
        <v>20</v>
      </c>
      <c r="D14" s="6">
        <v>1</v>
      </c>
      <c r="E14" s="7">
        <v>4.8</v>
      </c>
      <c r="F14" s="7">
        <f>D14*E14</f>
        <v>4.8</v>
      </c>
      <c r="G14" s="5" t="s">
        <v>31</v>
      </c>
    </row>
    <row r="15" s="1" customFormat="1" spans="1:7">
      <c r="A15" s="5" t="s">
        <v>32</v>
      </c>
      <c r="B15" s="6" t="s">
        <v>23</v>
      </c>
      <c r="C15" s="6" t="s">
        <v>33</v>
      </c>
      <c r="D15" s="6">
        <v>0.33</v>
      </c>
      <c r="E15" s="7">
        <v>5.5</v>
      </c>
      <c r="F15" s="7">
        <f>D15*E15</f>
        <v>1.815</v>
      </c>
      <c r="G15" s="5" t="s">
        <v>34</v>
      </c>
    </row>
    <row r="16" s="1" customFormat="1" spans="1:7">
      <c r="A16" s="5" t="s">
        <v>35</v>
      </c>
      <c r="B16" s="6" t="s">
        <v>23</v>
      </c>
      <c r="C16" s="6" t="s">
        <v>33</v>
      </c>
      <c r="D16" s="6">
        <v>0.33</v>
      </c>
      <c r="E16" s="7">
        <v>3.8</v>
      </c>
      <c r="F16" s="7">
        <f>D16*E16</f>
        <v>1.254</v>
      </c>
      <c r="G16" s="5" t="s">
        <v>36</v>
      </c>
    </row>
    <row r="17" s="1" customFormat="1" spans="1:7">
      <c r="A17" s="5" t="s">
        <v>37</v>
      </c>
      <c r="B17" s="6" t="s">
        <v>38</v>
      </c>
      <c r="C17" s="6" t="s">
        <v>33</v>
      </c>
      <c r="D17" s="6">
        <v>0.33</v>
      </c>
      <c r="E17" s="7">
        <v>2.8</v>
      </c>
      <c r="F17" s="7">
        <f>D17*E17</f>
        <v>0.924</v>
      </c>
      <c r="G17" s="5" t="s">
        <v>39</v>
      </c>
    </row>
    <row r="18" s="1" customFormat="1" spans="1:7">
      <c r="A18" s="5" t="s">
        <v>40</v>
      </c>
      <c r="B18" s="6" t="s">
        <v>41</v>
      </c>
      <c r="C18" s="6" t="s">
        <v>33</v>
      </c>
      <c r="D18" s="6">
        <v>0.33</v>
      </c>
      <c r="E18" s="7">
        <v>6.5</v>
      </c>
      <c r="F18" s="7">
        <f>D18*E18</f>
        <v>2.145</v>
      </c>
      <c r="G18" s="5" t="s">
        <v>42</v>
      </c>
    </row>
    <row r="19" s="1" customFormat="1" spans="1:7">
      <c r="A19" s="37" t="s">
        <v>43</v>
      </c>
      <c r="B19" s="38" t="s">
        <v>44</v>
      </c>
      <c r="C19" s="38" t="s">
        <v>10</v>
      </c>
      <c r="D19" s="38">
        <v>6</v>
      </c>
      <c r="E19" s="39">
        <v>1.25</v>
      </c>
      <c r="F19" s="39">
        <f>D19*E19</f>
        <v>7.5</v>
      </c>
      <c r="G19" s="37" t="s">
        <v>45</v>
      </c>
    </row>
    <row r="20" s="36" customFormat="1" spans="1:7">
      <c r="A20" s="40"/>
      <c r="B20" s="41"/>
      <c r="C20" s="41"/>
      <c r="D20" s="38"/>
      <c r="E20" s="39"/>
      <c r="F20" s="39"/>
      <c r="G20" s="42"/>
    </row>
    <row r="21" s="36" customFormat="1" spans="1:7">
      <c r="A21" s="40"/>
      <c r="B21" s="41"/>
      <c r="C21" s="41"/>
      <c r="D21" s="38"/>
      <c r="E21" s="39"/>
      <c r="F21" s="39"/>
      <c r="G21" s="42"/>
    </row>
    <row r="22" s="36" customFormat="1" spans="1:7">
      <c r="A22" s="40" t="s">
        <v>56</v>
      </c>
      <c r="B22" s="41"/>
      <c r="C22" s="41"/>
      <c r="D22" s="38">
        <v>4</v>
      </c>
      <c r="E22" s="39">
        <v>70</v>
      </c>
      <c r="F22" s="39">
        <f>D22*E22</f>
        <v>280</v>
      </c>
      <c r="G22" s="42"/>
    </row>
    <row r="23" s="36" customFormat="1" spans="1:7">
      <c r="A23" s="40"/>
      <c r="B23" s="41"/>
      <c r="C23" s="41"/>
      <c r="D23" s="41"/>
      <c r="E23" s="43"/>
      <c r="F23" s="44"/>
      <c r="G23" s="42"/>
    </row>
    <row r="24" s="36" customFormat="1" spans="1:7">
      <c r="A24" s="40"/>
      <c r="B24" s="41"/>
      <c r="C24" s="41"/>
      <c r="D24" s="41"/>
      <c r="E24" s="43"/>
      <c r="F24" s="44"/>
      <c r="G24" s="42"/>
    </row>
    <row r="25" s="1" customFormat="1" spans="1:7">
      <c r="A25" s="45" t="s">
        <v>47</v>
      </c>
      <c r="F25" s="46">
        <f>SUM(F5:F19)</f>
        <v>74.788</v>
      </c>
    </row>
    <row r="26" s="1" customFormat="1" ht="17.55"/>
  </sheetData>
  <mergeCells count="1">
    <mergeCell ref="A1:G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workbookViewId="0">
      <selection activeCell="L40" sqref="L40"/>
    </sheetView>
  </sheetViews>
  <sheetFormatPr defaultColWidth="9" defaultRowHeight="16.8" outlineLevelCol="5"/>
  <cols>
    <col min="1" max="1" width="44" style="18" customWidth="1"/>
    <col min="2" max="2" width="16" style="18" customWidth="1"/>
    <col min="3" max="3" width="10" style="18" customWidth="1"/>
    <col min="4" max="4" width="13" style="19" customWidth="1"/>
    <col min="5" max="5" width="16" style="19" customWidth="1"/>
    <col min="6" max="6" width="18" style="19" customWidth="1"/>
    <col min="7" max="16384" width="9" style="18"/>
  </cols>
  <sheetData>
    <row r="1" s="18" customFormat="1" ht="23.2" customHeight="1" spans="1:6">
      <c r="A1" s="20" t="s">
        <v>59</v>
      </c>
      <c r="B1" s="21"/>
      <c r="C1" s="21"/>
      <c r="D1" s="21"/>
      <c r="E1" s="21"/>
      <c r="F1" s="21"/>
    </row>
    <row r="2" s="18" customFormat="1" spans="1:6">
      <c r="A2" s="21"/>
      <c r="B2" s="21"/>
      <c r="C2" s="21"/>
      <c r="D2" s="21"/>
      <c r="E2" s="21"/>
      <c r="F2" s="21"/>
    </row>
    <row r="3" s="18" customFormat="1" spans="1:6">
      <c r="A3" s="22" t="s">
        <v>1</v>
      </c>
      <c r="B3" s="22" t="s">
        <v>2</v>
      </c>
      <c r="C3" s="22" t="s">
        <v>3</v>
      </c>
      <c r="D3" s="22" t="s">
        <v>4</v>
      </c>
      <c r="E3" s="22" t="s">
        <v>5</v>
      </c>
      <c r="F3" s="22" t="s">
        <v>6</v>
      </c>
    </row>
    <row r="4" s="18" customFormat="1" spans="1:6">
      <c r="A4" s="23" t="s">
        <v>60</v>
      </c>
      <c r="B4" s="23" t="s">
        <v>9</v>
      </c>
      <c r="C4" s="23" t="s">
        <v>20</v>
      </c>
      <c r="D4" s="24">
        <v>4</v>
      </c>
      <c r="E4" s="25">
        <v>40.79</v>
      </c>
      <c r="F4" s="25">
        <f>E4*D4</f>
        <v>163.16</v>
      </c>
    </row>
    <row r="5" s="18" customFormat="1" spans="1:6">
      <c r="A5" s="26" t="s">
        <v>61</v>
      </c>
      <c r="B5" s="26" t="s">
        <v>13</v>
      </c>
      <c r="C5" s="26" t="s">
        <v>20</v>
      </c>
      <c r="D5" s="27">
        <v>2</v>
      </c>
      <c r="E5" s="28">
        <v>34.2</v>
      </c>
      <c r="F5" s="25">
        <f>E5*D5</f>
        <v>68.4</v>
      </c>
    </row>
    <row r="6" s="18" customFormat="1" spans="1:6">
      <c r="A6" s="23" t="s">
        <v>62</v>
      </c>
      <c r="B6" s="23" t="s">
        <v>9</v>
      </c>
      <c r="C6" s="23" t="s">
        <v>10</v>
      </c>
      <c r="D6" s="24">
        <v>4</v>
      </c>
      <c r="E6" s="25">
        <v>3.6</v>
      </c>
      <c r="F6" s="25">
        <f>E6*D6</f>
        <v>14.4</v>
      </c>
    </row>
    <row r="7" s="18" customFormat="1" spans="1:6">
      <c r="A7" s="26" t="s">
        <v>63</v>
      </c>
      <c r="B7" s="26" t="s">
        <v>9</v>
      </c>
      <c r="C7" s="26" t="s">
        <v>10</v>
      </c>
      <c r="D7" s="27">
        <v>12</v>
      </c>
      <c r="E7" s="28">
        <v>6.66</v>
      </c>
      <c r="F7" s="25">
        <f>E7*D7</f>
        <v>79.92</v>
      </c>
    </row>
    <row r="8" s="18" customFormat="1" spans="1:6">
      <c r="A8" s="23" t="s">
        <v>64</v>
      </c>
      <c r="B8" s="23" t="s">
        <v>9</v>
      </c>
      <c r="C8" s="23" t="s">
        <v>10</v>
      </c>
      <c r="D8" s="24">
        <v>4</v>
      </c>
      <c r="E8" s="25">
        <v>6.94</v>
      </c>
      <c r="F8" s="25">
        <f>E8*D8</f>
        <v>27.76</v>
      </c>
    </row>
    <row r="9" s="18" customFormat="1" spans="1:6">
      <c r="A9" s="26" t="s">
        <v>65</v>
      </c>
      <c r="B9" s="26" t="s">
        <v>9</v>
      </c>
      <c r="C9" s="26" t="s">
        <v>10</v>
      </c>
      <c r="D9" s="27">
        <v>4</v>
      </c>
      <c r="E9" s="28">
        <v>9</v>
      </c>
      <c r="F9" s="25">
        <f>E9*D9</f>
        <v>36</v>
      </c>
    </row>
    <row r="10" s="18" customFormat="1" spans="1:6">
      <c r="A10" s="23" t="s">
        <v>66</v>
      </c>
      <c r="B10" s="23" t="s">
        <v>67</v>
      </c>
      <c r="C10" s="23" t="s">
        <v>10</v>
      </c>
      <c r="D10" s="24">
        <v>4</v>
      </c>
      <c r="E10" s="25">
        <v>5.56</v>
      </c>
      <c r="F10" s="25">
        <f>E10*D10</f>
        <v>22.24</v>
      </c>
    </row>
    <row r="11" s="18" customFormat="1" spans="1:6">
      <c r="A11" s="26" t="s">
        <v>68</v>
      </c>
      <c r="B11" s="26" t="s">
        <v>13</v>
      </c>
      <c r="C11" s="26" t="s">
        <v>10</v>
      </c>
      <c r="D11" s="27">
        <v>2</v>
      </c>
      <c r="E11" s="28">
        <v>4.8</v>
      </c>
      <c r="F11" s="25">
        <f>E11*D11</f>
        <v>9.6</v>
      </c>
    </row>
    <row r="12" s="18" customFormat="1" spans="1:6">
      <c r="A12" s="23" t="s">
        <v>69</v>
      </c>
      <c r="B12" s="23" t="s">
        <v>13</v>
      </c>
      <c r="C12" s="23" t="s">
        <v>10</v>
      </c>
      <c r="D12" s="24">
        <v>0</v>
      </c>
      <c r="E12" s="25">
        <v>6.2</v>
      </c>
      <c r="F12" s="25">
        <f>E12*D12</f>
        <v>0</v>
      </c>
    </row>
    <row r="13" s="18" customFormat="1" spans="1:6">
      <c r="A13" s="26" t="s">
        <v>70</v>
      </c>
      <c r="B13" s="26" t="s">
        <v>13</v>
      </c>
      <c r="C13" s="26" t="s">
        <v>10</v>
      </c>
      <c r="D13" s="27">
        <v>4</v>
      </c>
      <c r="E13" s="28">
        <v>6.9</v>
      </c>
      <c r="F13" s="25">
        <f>E13*D13</f>
        <v>27.6</v>
      </c>
    </row>
    <row r="14" s="18" customFormat="1" spans="1:6">
      <c r="A14" s="23" t="s">
        <v>71</v>
      </c>
      <c r="B14" s="23" t="s">
        <v>13</v>
      </c>
      <c r="C14" s="23" t="s">
        <v>10</v>
      </c>
      <c r="D14" s="24">
        <v>2</v>
      </c>
      <c r="E14" s="25">
        <v>6.5</v>
      </c>
      <c r="F14" s="25">
        <f>E14*D14</f>
        <v>13</v>
      </c>
    </row>
    <row r="15" s="18" customFormat="1" spans="1:6">
      <c r="A15" s="26" t="s">
        <v>72</v>
      </c>
      <c r="B15" s="26" t="s">
        <v>13</v>
      </c>
      <c r="C15" s="26" t="s">
        <v>10</v>
      </c>
      <c r="D15" s="27">
        <v>2</v>
      </c>
      <c r="E15" s="28">
        <v>9.4</v>
      </c>
      <c r="F15" s="25">
        <f>E15*D15</f>
        <v>18.8</v>
      </c>
    </row>
    <row r="16" s="18" customFormat="1" spans="1:6">
      <c r="A16" s="23" t="s">
        <v>73</v>
      </c>
      <c r="B16" s="23" t="s">
        <v>74</v>
      </c>
      <c r="C16" s="23" t="s">
        <v>10</v>
      </c>
      <c r="D16" s="24">
        <v>1</v>
      </c>
      <c r="E16" s="25">
        <v>10.2</v>
      </c>
      <c r="F16" s="25">
        <f>E16*D16</f>
        <v>10.2</v>
      </c>
    </row>
    <row r="17" s="18" customFormat="1" spans="1:6">
      <c r="A17" s="26" t="s">
        <v>75</v>
      </c>
      <c r="B17" s="26" t="s">
        <v>76</v>
      </c>
      <c r="C17" s="26" t="s">
        <v>10</v>
      </c>
      <c r="D17" s="27">
        <v>2</v>
      </c>
      <c r="E17" s="28">
        <v>10.5</v>
      </c>
      <c r="F17" s="25">
        <f>E17*D17</f>
        <v>21</v>
      </c>
    </row>
    <row r="18" s="18" customFormat="1" spans="1:6">
      <c r="A18" s="23" t="s">
        <v>77</v>
      </c>
      <c r="B18" s="23" t="s">
        <v>78</v>
      </c>
      <c r="C18" s="23" t="s">
        <v>10</v>
      </c>
      <c r="D18" s="24">
        <v>2</v>
      </c>
      <c r="E18" s="25">
        <v>5.2</v>
      </c>
      <c r="F18" s="25">
        <f>E18*D18</f>
        <v>10.4</v>
      </c>
    </row>
    <row r="19" s="18" customFormat="1" spans="1:6">
      <c r="A19" s="29" t="s">
        <v>8</v>
      </c>
      <c r="B19" s="29" t="s">
        <v>9</v>
      </c>
      <c r="C19" s="29" t="s">
        <v>10</v>
      </c>
      <c r="D19" s="29">
        <v>10</v>
      </c>
      <c r="E19" s="30">
        <v>1.45</v>
      </c>
      <c r="F19" s="25">
        <f>E19*D19</f>
        <v>14.5</v>
      </c>
    </row>
    <row r="20" s="18" customFormat="1" spans="1:6">
      <c r="A20" s="29" t="s">
        <v>12</v>
      </c>
      <c r="B20" s="29" t="s">
        <v>13</v>
      </c>
      <c r="C20" s="29" t="s">
        <v>10</v>
      </c>
      <c r="D20" s="29">
        <v>6</v>
      </c>
      <c r="E20" s="30">
        <v>1.25</v>
      </c>
      <c r="F20" s="25">
        <f>E20*D20</f>
        <v>7.5</v>
      </c>
    </row>
    <row r="21" s="18" customFormat="1" spans="1:6">
      <c r="A21" s="29" t="s">
        <v>14</v>
      </c>
      <c r="B21" s="29" t="s">
        <v>15</v>
      </c>
      <c r="C21" s="29" t="s">
        <v>10</v>
      </c>
      <c r="D21" s="29">
        <v>0</v>
      </c>
      <c r="E21" s="30">
        <v>1.05</v>
      </c>
      <c r="F21" s="25">
        <f>E21*D21</f>
        <v>0</v>
      </c>
    </row>
    <row r="22" s="18" customFormat="1" spans="1:6">
      <c r="A22" s="29" t="s">
        <v>16</v>
      </c>
      <c r="B22" s="29" t="s">
        <v>17</v>
      </c>
      <c r="C22" s="29" t="s">
        <v>10</v>
      </c>
      <c r="D22" s="29">
        <v>0</v>
      </c>
      <c r="E22" s="30">
        <v>0.95</v>
      </c>
      <c r="F22" s="25">
        <f>E22*D22</f>
        <v>0</v>
      </c>
    </row>
    <row r="23" s="18" customFormat="1" spans="1:6">
      <c r="A23" s="29" t="s">
        <v>18</v>
      </c>
      <c r="B23" s="29" t="s">
        <v>19</v>
      </c>
      <c r="C23" s="29" t="s">
        <v>20</v>
      </c>
      <c r="D23" s="29">
        <v>3</v>
      </c>
      <c r="E23" s="30">
        <v>18.5</v>
      </c>
      <c r="F23" s="25">
        <f>E23*D23</f>
        <v>55.5</v>
      </c>
    </row>
    <row r="24" s="18" customFormat="1" spans="1:6">
      <c r="A24" s="29" t="s">
        <v>22</v>
      </c>
      <c r="B24" s="29" t="s">
        <v>23</v>
      </c>
      <c r="C24" s="29" t="s">
        <v>10</v>
      </c>
      <c r="D24" s="29">
        <v>16</v>
      </c>
      <c r="E24" s="30">
        <v>0.45</v>
      </c>
      <c r="F24" s="25">
        <f>E24*D24</f>
        <v>7.2</v>
      </c>
    </row>
    <row r="25" s="18" customFormat="1" spans="1:6">
      <c r="A25" s="29" t="s">
        <v>25</v>
      </c>
      <c r="B25" s="29" t="s">
        <v>26</v>
      </c>
      <c r="C25" s="29" t="s">
        <v>27</v>
      </c>
      <c r="D25" s="29">
        <v>12</v>
      </c>
      <c r="E25" s="30">
        <v>0.85</v>
      </c>
      <c r="F25" s="25">
        <f>E25*D25</f>
        <v>10.2</v>
      </c>
    </row>
    <row r="26" s="18" customFormat="1" spans="1:6">
      <c r="A26" s="29" t="s">
        <v>29</v>
      </c>
      <c r="B26" s="29" t="s">
        <v>30</v>
      </c>
      <c r="C26" s="29" t="s">
        <v>20</v>
      </c>
      <c r="D26" s="29">
        <v>2</v>
      </c>
      <c r="E26" s="30">
        <v>4.8</v>
      </c>
      <c r="F26" s="25">
        <f>E26*D26</f>
        <v>9.6</v>
      </c>
    </row>
    <row r="27" s="18" customFormat="1" spans="1:6">
      <c r="A27" s="29" t="s">
        <v>32</v>
      </c>
      <c r="B27" s="29" t="s">
        <v>23</v>
      </c>
      <c r="C27" s="29" t="s">
        <v>33</v>
      </c>
      <c r="D27" s="29">
        <v>0.5</v>
      </c>
      <c r="E27" s="30">
        <v>5.5</v>
      </c>
      <c r="F27" s="25">
        <f>E27*D27</f>
        <v>2.75</v>
      </c>
    </row>
    <row r="28" s="18" customFormat="1" spans="1:6">
      <c r="A28" s="29" t="s">
        <v>35</v>
      </c>
      <c r="B28" s="29" t="s">
        <v>23</v>
      </c>
      <c r="C28" s="29" t="s">
        <v>33</v>
      </c>
      <c r="D28" s="29">
        <v>0.5</v>
      </c>
      <c r="E28" s="30">
        <v>3.8</v>
      </c>
      <c r="F28" s="25">
        <f>E28*D28</f>
        <v>1.9</v>
      </c>
    </row>
    <row r="29" s="18" customFormat="1" spans="1:6">
      <c r="A29" s="29" t="s">
        <v>37</v>
      </c>
      <c r="B29" s="29" t="s">
        <v>38</v>
      </c>
      <c r="C29" s="29" t="s">
        <v>33</v>
      </c>
      <c r="D29" s="29">
        <v>1</v>
      </c>
      <c r="E29" s="30">
        <v>2.8</v>
      </c>
      <c r="F29" s="25">
        <f>E29*D29</f>
        <v>2.8</v>
      </c>
    </row>
    <row r="30" s="18" customFormat="1" spans="1:6">
      <c r="A30" s="29" t="s">
        <v>40</v>
      </c>
      <c r="B30" s="29" t="s">
        <v>41</v>
      </c>
      <c r="C30" s="29" t="s">
        <v>33</v>
      </c>
      <c r="D30" s="29">
        <v>1</v>
      </c>
      <c r="E30" s="30">
        <v>6.5</v>
      </c>
      <c r="F30" s="25">
        <f>E30*D30</f>
        <v>6.5</v>
      </c>
    </row>
    <row r="31" s="18" customFormat="1" spans="1:6">
      <c r="A31" s="29" t="s">
        <v>43</v>
      </c>
      <c r="B31" s="29" t="s">
        <v>44</v>
      </c>
      <c r="C31" s="29" t="s">
        <v>10</v>
      </c>
      <c r="D31" s="29">
        <v>20</v>
      </c>
      <c r="E31" s="30">
        <v>1.25</v>
      </c>
      <c r="F31" s="25">
        <f>E31*D31</f>
        <v>25</v>
      </c>
    </row>
    <row r="32" s="18" customFormat="1" spans="1:6">
      <c r="A32" s="31" t="s">
        <v>79</v>
      </c>
      <c r="B32" s="29" t="s">
        <v>9</v>
      </c>
      <c r="C32" s="29" t="s">
        <v>10</v>
      </c>
      <c r="D32" s="29">
        <v>2</v>
      </c>
      <c r="E32" s="30">
        <v>25.69</v>
      </c>
      <c r="F32" s="25">
        <f>E32*D32</f>
        <v>51.38</v>
      </c>
    </row>
    <row r="33" s="18" customFormat="1" spans="1:6">
      <c r="A33" s="32" t="s">
        <v>80</v>
      </c>
      <c r="B33" s="29" t="s">
        <v>9</v>
      </c>
      <c r="C33" s="29" t="s">
        <v>10</v>
      </c>
      <c r="D33" s="29">
        <v>1</v>
      </c>
      <c r="E33" s="30">
        <v>11.5</v>
      </c>
      <c r="F33" s="25">
        <f>E33*D33</f>
        <v>11.5</v>
      </c>
    </row>
    <row r="34" s="18" customFormat="1" spans="1:6">
      <c r="A34" s="31" t="s">
        <v>81</v>
      </c>
      <c r="B34" s="29" t="s">
        <v>9</v>
      </c>
      <c r="C34" s="29" t="s">
        <v>10</v>
      </c>
      <c r="D34" s="29">
        <v>2</v>
      </c>
      <c r="E34" s="30">
        <v>9.86</v>
      </c>
      <c r="F34" s="25">
        <f>E34*D34</f>
        <v>19.72</v>
      </c>
    </row>
    <row r="35" s="18" customFormat="1" spans="1:6">
      <c r="A35" s="31" t="s">
        <v>82</v>
      </c>
      <c r="B35" s="29" t="s">
        <v>9</v>
      </c>
      <c r="C35" s="29" t="s">
        <v>10</v>
      </c>
      <c r="D35" s="29">
        <v>2</v>
      </c>
      <c r="E35" s="30">
        <v>24.59</v>
      </c>
      <c r="F35" s="25">
        <f>E35*D35</f>
        <v>49.18</v>
      </c>
    </row>
    <row r="36" s="18" customFormat="1" spans="1:6">
      <c r="A36" s="31" t="s">
        <v>83</v>
      </c>
      <c r="B36" s="29" t="s">
        <v>9</v>
      </c>
      <c r="C36" s="29" t="s">
        <v>10</v>
      </c>
      <c r="D36" s="29">
        <v>1</v>
      </c>
      <c r="E36" s="30">
        <v>30.53</v>
      </c>
      <c r="F36" s="25">
        <f>E36*D36</f>
        <v>30.53</v>
      </c>
    </row>
    <row r="37" s="18" customFormat="1" spans="1:6">
      <c r="A37" s="32" t="s">
        <v>84</v>
      </c>
      <c r="B37" s="29" t="s">
        <v>9</v>
      </c>
      <c r="C37" s="29" t="s">
        <v>10</v>
      </c>
      <c r="D37" s="29">
        <v>1</v>
      </c>
      <c r="E37" s="30">
        <v>51.34</v>
      </c>
      <c r="F37" s="25">
        <f>E37*D37</f>
        <v>51.34</v>
      </c>
    </row>
    <row r="38" s="18" customFormat="1" spans="1:6">
      <c r="A38" s="32" t="s">
        <v>85</v>
      </c>
      <c r="B38" s="29" t="s">
        <v>9</v>
      </c>
      <c r="C38" s="29" t="s">
        <v>10</v>
      </c>
      <c r="D38" s="29">
        <v>1</v>
      </c>
      <c r="E38" s="30">
        <v>54.9</v>
      </c>
      <c r="F38" s="25">
        <f>E38*D38</f>
        <v>54.9</v>
      </c>
    </row>
    <row r="39" s="18" customFormat="1" spans="1:6">
      <c r="A39" s="32" t="s">
        <v>86</v>
      </c>
      <c r="B39" s="29" t="s">
        <v>9</v>
      </c>
      <c r="C39" s="29" t="s">
        <v>10</v>
      </c>
      <c r="D39" s="29">
        <v>1</v>
      </c>
      <c r="E39" s="30">
        <v>9.56</v>
      </c>
      <c r="F39" s="25">
        <f>E39*D39</f>
        <v>9.56</v>
      </c>
    </row>
    <row r="40" s="18" customFormat="1" spans="1:6">
      <c r="A40" s="32" t="s">
        <v>87</v>
      </c>
      <c r="B40" s="29" t="s">
        <v>15</v>
      </c>
      <c r="C40" s="29" t="s">
        <v>10</v>
      </c>
      <c r="D40" s="29">
        <v>1</v>
      </c>
      <c r="E40" s="30">
        <v>4.39</v>
      </c>
      <c r="F40" s="25">
        <f>E40*D40</f>
        <v>4.39</v>
      </c>
    </row>
    <row r="41" s="18" customFormat="1" spans="1:6">
      <c r="A41" s="32" t="s">
        <v>88</v>
      </c>
      <c r="B41" s="29" t="s">
        <v>15</v>
      </c>
      <c r="C41" s="29" t="s">
        <v>10</v>
      </c>
      <c r="D41" s="29">
        <v>1</v>
      </c>
      <c r="E41" s="30">
        <v>3.78</v>
      </c>
      <c r="F41" s="25">
        <f>E41*D41</f>
        <v>3.78</v>
      </c>
    </row>
    <row r="42" s="18" customFormat="1" spans="1:6">
      <c r="A42" s="32"/>
      <c r="B42" s="29"/>
      <c r="C42" s="29"/>
      <c r="D42" s="29"/>
      <c r="E42" s="30"/>
      <c r="F42" s="25"/>
    </row>
    <row r="43" s="18" customFormat="1" spans="1:6">
      <c r="A43" s="32"/>
      <c r="B43" s="29"/>
      <c r="C43" s="29"/>
      <c r="D43" s="29"/>
      <c r="E43" s="30"/>
      <c r="F43" s="25"/>
    </row>
    <row r="44" s="18" customFormat="1" spans="1:6">
      <c r="A44" s="32" t="s">
        <v>56</v>
      </c>
      <c r="B44" s="29"/>
      <c r="C44" s="29"/>
      <c r="D44" s="29">
        <v>16</v>
      </c>
      <c r="E44" s="30">
        <v>70</v>
      </c>
      <c r="F44" s="25">
        <f>E44*D44</f>
        <v>1120</v>
      </c>
    </row>
    <row r="45" s="18" customFormat="1" spans="1:6">
      <c r="A45" s="32"/>
      <c r="B45" s="29"/>
      <c r="C45" s="29"/>
      <c r="D45" s="29"/>
      <c r="E45" s="30"/>
      <c r="F45" s="25"/>
    </row>
    <row r="46" s="18" customFormat="1" spans="1:6">
      <c r="A46" s="32"/>
      <c r="B46" s="29"/>
      <c r="C46" s="29"/>
      <c r="D46" s="29"/>
      <c r="E46" s="30"/>
      <c r="F46" s="25"/>
    </row>
    <row r="47" s="18" customFormat="1" spans="1:6">
      <c r="A47" s="32"/>
      <c r="B47" s="29"/>
      <c r="C47" s="29"/>
      <c r="D47" s="29"/>
      <c r="E47" s="30"/>
      <c r="F47" s="25"/>
    </row>
    <row r="48" s="18" customFormat="1" spans="1:6">
      <c r="A48" s="32"/>
      <c r="B48" s="29"/>
      <c r="C48" s="29"/>
      <c r="D48" s="29"/>
      <c r="E48" s="30"/>
      <c r="F48" s="25"/>
    </row>
    <row r="49" s="18" customFormat="1" spans="1:6">
      <c r="A49" s="33" t="s">
        <v>47</v>
      </c>
      <c r="B49" s="34"/>
      <c r="C49" s="34"/>
      <c r="D49" s="34"/>
      <c r="E49" s="34"/>
      <c r="F49" s="35">
        <f>SUM(F4:F48)</f>
        <v>2072.21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1"/>
  <sheetViews>
    <sheetView topLeftCell="A78" workbookViewId="0">
      <selection activeCell="M98" sqref="M98"/>
    </sheetView>
  </sheetViews>
  <sheetFormatPr defaultColWidth="9" defaultRowHeight="16.8" outlineLevelCol="6"/>
  <cols>
    <col min="1" max="1" width="25" style="1" customWidth="1"/>
    <col min="2" max="2" width="65" style="1" customWidth="1"/>
    <col min="3" max="3" width="16" style="1" customWidth="1"/>
    <col min="4" max="4" width="12" style="1" customWidth="1"/>
    <col min="5" max="5" width="10" style="1" customWidth="1"/>
    <col min="6" max="6" width="16" style="1" customWidth="1"/>
    <col min="7" max="7" width="18" style="1" customWidth="1"/>
    <col min="8" max="16383" width="9" style="1"/>
  </cols>
  <sheetData>
    <row r="1" s="1" customFormat="1" ht="20.4" spans="1:7">
      <c r="A1" s="10" t="s">
        <v>89</v>
      </c>
    </row>
    <row r="2" s="1" customFormat="1" spans="1:7">
      <c r="A2" s="11" t="s">
        <v>90</v>
      </c>
    </row>
    <row r="3" s="1" customFormat="1" spans="1:7">
      <c r="A3" s="12" t="s">
        <v>91</v>
      </c>
      <c r="B3" s="12" t="s">
        <v>92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</row>
    <row r="4" s="1" customFormat="1" spans="1:7">
      <c r="A4" s="13" t="s">
        <v>93</v>
      </c>
      <c r="B4" s="13" t="str">
        <f>'[1]Waste Systems'!A21</f>
        <v>50mm Solvent Weld Waste Pipe (3m)</v>
      </c>
      <c r="C4" s="13" t="str">
        <f>'[1]Waste Systems'!B21</f>
        <v>50mm</v>
      </c>
      <c r="D4" s="13" t="str">
        <f>'[1]Waste Systems'!C21</f>
        <v>Length</v>
      </c>
      <c r="E4" s="14">
        <v>3</v>
      </c>
      <c r="F4" s="15">
        <f>'[1]Waste Systems'!E21</f>
        <v>9.8</v>
      </c>
      <c r="G4" s="15">
        <f>E4*F4</f>
        <v>29.4</v>
      </c>
    </row>
    <row r="5" s="1" customFormat="1" spans="1:7">
      <c r="A5" s="13" t="s">
        <v>93</v>
      </c>
      <c r="B5" s="13" t="str">
        <f>'[1]Waste Systems'!A22</f>
        <v>50mm Solvent 90° Sweeping Bend</v>
      </c>
      <c r="C5" s="13" t="str">
        <f>'[1]Waste Systems'!B22</f>
        <v>50mm</v>
      </c>
      <c r="D5" s="13" t="str">
        <f>'[1]Waste Systems'!C22</f>
        <v>Pcs</v>
      </c>
      <c r="E5" s="14">
        <v>10</v>
      </c>
      <c r="F5" s="15">
        <f>'[1]Waste Systems'!E22</f>
        <v>2.4</v>
      </c>
      <c r="G5" s="15">
        <f>E5*F5</f>
        <v>24</v>
      </c>
    </row>
    <row r="6" s="1" customFormat="1" spans="1:7">
      <c r="A6" s="13" t="s">
        <v>93</v>
      </c>
      <c r="B6" s="13" t="str">
        <f>'[1]Waste Systems'!A23</f>
        <v>50mm Solvent 45° Bend</v>
      </c>
      <c r="C6" s="13" t="str">
        <f>'[1]Waste Systems'!B23</f>
        <v>50mm</v>
      </c>
      <c r="D6" s="13" t="str">
        <f>'[1]Waste Systems'!C23</f>
        <v>Pcs</v>
      </c>
      <c r="E6" s="14">
        <f>'[1]Waste Systems'!D23</f>
        <v>0</v>
      </c>
      <c r="F6" s="15">
        <f>'[1]Waste Systems'!E23</f>
        <v>2.2</v>
      </c>
      <c r="G6" s="15">
        <f>E6*F6</f>
        <v>0</v>
      </c>
    </row>
    <row r="7" s="1" customFormat="1" spans="1:7">
      <c r="A7" s="13" t="s">
        <v>93</v>
      </c>
      <c r="B7" s="13" t="str">
        <f>'[1]Waste Systems'!A24</f>
        <v>50mm Solvent Equal Tee 90°</v>
      </c>
      <c r="C7" s="13" t="str">
        <f>'[1]Waste Systems'!B24</f>
        <v>50mm</v>
      </c>
      <c r="D7" s="13" t="str">
        <f>'[1]Waste Systems'!C24</f>
        <v>Pcs</v>
      </c>
      <c r="E7" s="14">
        <v>4</v>
      </c>
      <c r="F7" s="15">
        <f>'[1]Waste Systems'!E24</f>
        <v>3.1</v>
      </c>
      <c r="G7" s="15">
        <f>E7*F7</f>
        <v>12.4</v>
      </c>
    </row>
    <row r="8" s="1" customFormat="1" spans="1:7">
      <c r="A8" s="13" t="s">
        <v>93</v>
      </c>
      <c r="B8" s="13" t="str">
        <f>'[1]Waste Systems'!A25</f>
        <v>50mm x 40mm Socket Reducer</v>
      </c>
      <c r="C8" s="13" t="str">
        <f>'[1]Waste Systems'!B25</f>
        <v>50x40mm</v>
      </c>
      <c r="D8" s="13" t="str">
        <f>'[1]Waste Systems'!C25</f>
        <v>Pcs</v>
      </c>
      <c r="E8" s="14">
        <v>1</v>
      </c>
      <c r="F8" s="15">
        <f>'[1]Waste Systems'!E25</f>
        <v>1.8</v>
      </c>
      <c r="G8" s="15">
        <f>E8*F8</f>
        <v>1.8</v>
      </c>
    </row>
    <row r="9" s="1" customFormat="1" spans="1:7">
      <c r="A9" s="13" t="s">
        <v>93</v>
      </c>
      <c r="B9" s="13" t="str">
        <f>'[1]Waste Systems'!A26</f>
        <v>40mm Solvent Weld Waste Pipe (3m)</v>
      </c>
      <c r="C9" s="13" t="str">
        <f>'[1]Waste Systems'!B26</f>
        <v>40mm</v>
      </c>
      <c r="D9" s="13" t="str">
        <f>'[1]Waste Systems'!C26</f>
        <v>Length</v>
      </c>
      <c r="E9" s="14">
        <v>4</v>
      </c>
      <c r="F9" s="15">
        <f>'[1]Waste Systems'!E26</f>
        <v>7.5</v>
      </c>
      <c r="G9" s="15">
        <f>E9*F9</f>
        <v>30</v>
      </c>
    </row>
    <row r="10" s="1" customFormat="1" spans="1:7">
      <c r="A10" s="13" t="s">
        <v>93</v>
      </c>
      <c r="B10" s="13" t="str">
        <f>'[1]Waste Systems'!A30</f>
        <v>40mm Straight Coupler</v>
      </c>
      <c r="C10" s="13" t="str">
        <f>'[1]Waste Systems'!B30</f>
        <v>40mm</v>
      </c>
      <c r="D10" s="13" t="str">
        <f>'[1]Waste Systems'!C30</f>
        <v>Pcs</v>
      </c>
      <c r="E10" s="14">
        <v>3</v>
      </c>
      <c r="F10" s="15">
        <f>'[1]Waste Systems'!E30</f>
        <v>1.1</v>
      </c>
      <c r="G10" s="15">
        <f>E10*F10</f>
        <v>3.3</v>
      </c>
    </row>
    <row r="11" s="1" customFormat="1" spans="1:7">
      <c r="A11" s="13" t="s">
        <v>93</v>
      </c>
      <c r="B11" s="13" t="str">
        <f>'[1]Waste Systems'!A31</f>
        <v>40mm x 32mm Socket Reducer</v>
      </c>
      <c r="C11" s="13" t="str">
        <f>'[1]Waste Systems'!B31</f>
        <v>40x32mm</v>
      </c>
      <c r="D11" s="13" t="str">
        <f>'[1]Waste Systems'!C31</f>
        <v>Pcs</v>
      </c>
      <c r="E11" s="14">
        <v>1</v>
      </c>
      <c r="F11" s="15">
        <f>'[1]Waste Systems'!E31</f>
        <v>1.3</v>
      </c>
      <c r="G11" s="15">
        <f>E11*F11</f>
        <v>1.3</v>
      </c>
    </row>
    <row r="12" s="1" customFormat="1" spans="1:7">
      <c r="A12" s="13" t="s">
        <v>93</v>
      </c>
      <c r="B12" s="13" t="str">
        <f>'[1]Waste Systems'!A32</f>
        <v>32mm Solvent Weld Waste Pipe (3m)</v>
      </c>
      <c r="C12" s="13" t="str">
        <f>'[1]Waste Systems'!B32</f>
        <v>32mm</v>
      </c>
      <c r="D12" s="13" t="str">
        <f>'[1]Waste Systems'!C32</f>
        <v>Length</v>
      </c>
      <c r="E12" s="14">
        <v>1</v>
      </c>
      <c r="F12" s="15">
        <f>'[1]Waste Systems'!E32</f>
        <v>6.2</v>
      </c>
      <c r="G12" s="15">
        <f>E12*F12</f>
        <v>6.2</v>
      </c>
    </row>
    <row r="13" s="1" customFormat="1" spans="1:7">
      <c r="A13" s="13" t="s">
        <v>93</v>
      </c>
      <c r="B13" s="13" t="str">
        <f>'[1]Waste Systems'!A36</f>
        <v>21.5mm Overflow Pipe (3m)</v>
      </c>
      <c r="C13" s="13" t="str">
        <f>'[1]Waste Systems'!B36</f>
        <v>21.5mm</v>
      </c>
      <c r="D13" s="13" t="str">
        <f>'[1]Waste Systems'!C36</f>
        <v>Length</v>
      </c>
      <c r="E13" s="14">
        <v>1</v>
      </c>
      <c r="F13" s="15">
        <f>'[1]Waste Systems'!E36</f>
        <v>3.8</v>
      </c>
      <c r="G13" s="15">
        <f>E13*F13</f>
        <v>3.8</v>
      </c>
    </row>
    <row r="14" s="1" customFormat="1" spans="1:7">
      <c r="A14" s="13" t="s">
        <v>93</v>
      </c>
      <c r="B14" s="13" t="str">
        <f>'[1]Waste Systems'!A37</f>
        <v>21.5mm Overflow 90° Elbow</v>
      </c>
      <c r="C14" s="13" t="str">
        <f>'[1]Waste Systems'!B37</f>
        <v>21.5mm</v>
      </c>
      <c r="D14" s="13" t="str">
        <f>'[1]Waste Systems'!C37</f>
        <v>Pcs</v>
      </c>
      <c r="E14" s="14">
        <v>6</v>
      </c>
      <c r="F14" s="15">
        <f>'[1]Waste Systems'!E37</f>
        <v>0.65</v>
      </c>
      <c r="G14" s="15">
        <f>E14*F14</f>
        <v>3.9</v>
      </c>
    </row>
    <row r="15" s="1" customFormat="1" spans="1:7">
      <c r="A15" s="13" t="s">
        <v>93</v>
      </c>
      <c r="B15" s="13" t="str">
        <f>'[1]Waste Systems'!A38</f>
        <v>21.5mm Overflow Straight Coupler</v>
      </c>
      <c r="C15" s="13" t="str">
        <f>'[1]Waste Systems'!B38</f>
        <v>21.5mm</v>
      </c>
      <c r="D15" s="13" t="str">
        <f>'[1]Waste Systems'!C38</f>
        <v>Pcs</v>
      </c>
      <c r="E15" s="14">
        <v>1</v>
      </c>
      <c r="F15" s="15">
        <f>'[1]Waste Systems'!E38</f>
        <v>0.55</v>
      </c>
      <c r="G15" s="15">
        <f>E15*F15</f>
        <v>0.55</v>
      </c>
    </row>
    <row r="16" s="1" customFormat="1" spans="1:7">
      <c r="A16" s="13" t="s">
        <v>94</v>
      </c>
      <c r="B16" s="13" t="str">
        <f>'[1]Water &amp; Press Fittings'!A4</f>
        <v>35mm Copper Tube Table X (3m)</v>
      </c>
      <c r="C16" s="13" t="str">
        <f>'[1]Water &amp; Press Fittings'!B4</f>
        <v>35mm</v>
      </c>
      <c r="D16" s="13" t="str">
        <f>'[1]Water &amp; Press Fittings'!C4</f>
        <v>Length</v>
      </c>
      <c r="E16" s="14">
        <v>4</v>
      </c>
      <c r="F16" s="15">
        <f>'[1]Water &amp; Press Fittings'!E4</f>
        <v>48.5</v>
      </c>
      <c r="G16" s="15">
        <f>E16*F16</f>
        <v>194</v>
      </c>
    </row>
    <row r="17" s="1" customFormat="1" spans="1:7">
      <c r="A17" s="13" t="s">
        <v>94</v>
      </c>
      <c r="B17" s="13" t="str">
        <f>'[1]Water &amp; Press Fittings'!A5</f>
        <v>28mm Copper Tube Table X (3m)</v>
      </c>
      <c r="C17" s="13" t="str">
        <f>'[1]Water &amp; Press Fittings'!B5</f>
        <v>28mm</v>
      </c>
      <c r="D17" s="13" t="str">
        <f>'[1]Water &amp; Press Fittings'!C5</f>
        <v>Length</v>
      </c>
      <c r="E17" s="14">
        <v>24</v>
      </c>
      <c r="F17" s="15">
        <f>'[1]Water &amp; Press Fittings'!E5</f>
        <v>34.2</v>
      </c>
      <c r="G17" s="15">
        <f>E17*F17</f>
        <v>820.8</v>
      </c>
    </row>
    <row r="18" s="1" customFormat="1" spans="1:7">
      <c r="A18" s="13" t="s">
        <v>94</v>
      </c>
      <c r="B18" s="13" t="str">
        <f>'[1]Water &amp; Press Fittings'!A6</f>
        <v>22mm Copper Tube Table X (3m)</v>
      </c>
      <c r="C18" s="13" t="str">
        <f>'[1]Water &amp; Press Fittings'!B6</f>
        <v>22mm</v>
      </c>
      <c r="D18" s="13" t="str">
        <f>'[1]Water &amp; Press Fittings'!C6</f>
        <v>Length</v>
      </c>
      <c r="E18" s="14">
        <v>5</v>
      </c>
      <c r="F18" s="15">
        <f>'[1]Water &amp; Press Fittings'!E6</f>
        <v>21.5</v>
      </c>
      <c r="G18" s="15">
        <f>E18*F18</f>
        <v>107.5</v>
      </c>
    </row>
    <row r="19" s="1" customFormat="1" spans="1:7">
      <c r="A19" s="13" t="s">
        <v>94</v>
      </c>
      <c r="B19" s="13" t="str">
        <f>'[1]Water &amp; Press Fittings'!A7</f>
        <v>15mm Copper Tube Table X (3m)</v>
      </c>
      <c r="C19" s="13" t="str">
        <f>'[1]Water &amp; Press Fittings'!B7</f>
        <v>15mm</v>
      </c>
      <c r="D19" s="13" t="str">
        <f>'[1]Water &amp; Press Fittings'!C7</f>
        <v>Length</v>
      </c>
      <c r="E19" s="14">
        <v>5</v>
      </c>
      <c r="F19" s="15">
        <f>'[1]Water &amp; Press Fittings'!E7</f>
        <v>12.8</v>
      </c>
      <c r="G19" s="15">
        <f>E19*F19</f>
        <v>64</v>
      </c>
    </row>
    <row r="20" s="1" customFormat="1" spans="1:7">
      <c r="A20" s="13" t="s">
        <v>94</v>
      </c>
      <c r="B20" s="13" t="str">
        <f>'[1]Water &amp; Press Fittings'!A8</f>
        <v>35mm Water Press Coupler</v>
      </c>
      <c r="C20" s="13" t="str">
        <f>'[1]Water &amp; Press Fittings'!B8</f>
        <v>35mm</v>
      </c>
      <c r="D20" s="13" t="str">
        <f>'[1]Water &amp; Press Fittings'!C8</f>
        <v>Pcs</v>
      </c>
      <c r="E20" s="14">
        <v>2</v>
      </c>
      <c r="F20" s="15">
        <f>'[1]Water &amp; Press Fittings'!E8</f>
        <v>8.5</v>
      </c>
      <c r="G20" s="15">
        <f>E20*F20</f>
        <v>17</v>
      </c>
    </row>
    <row r="21" s="1" customFormat="1" spans="1:7">
      <c r="A21" s="13" t="s">
        <v>94</v>
      </c>
      <c r="B21" s="13" t="str">
        <f>'[1]Water &amp; Press Fittings'!A9</f>
        <v>35mm Water Press 90° Elbow FF</v>
      </c>
      <c r="C21" s="13" t="str">
        <f>'[1]Water &amp; Press Fittings'!B9</f>
        <v>35mm</v>
      </c>
      <c r="D21" s="13" t="str">
        <f>'[1]Water &amp; Press Fittings'!C9</f>
        <v>Pcs</v>
      </c>
      <c r="E21" s="14">
        <v>8</v>
      </c>
      <c r="F21" s="15">
        <f>'[1]Water &amp; Press Fittings'!E9</f>
        <v>12.4</v>
      </c>
      <c r="G21" s="15">
        <f>E21*F21</f>
        <v>99.2</v>
      </c>
    </row>
    <row r="22" s="1" customFormat="1" spans="1:7">
      <c r="A22" s="13" t="s">
        <v>94</v>
      </c>
      <c r="B22" s="13" t="str">
        <f>'[1]Water &amp; Press Fittings'!A10</f>
        <v>35mm Water Press 45° Elbow FF</v>
      </c>
      <c r="C22" s="13" t="str">
        <f>'[1]Water &amp; Press Fittings'!B10</f>
        <v>35mm</v>
      </c>
      <c r="D22" s="13" t="str">
        <f>'[1]Water &amp; Press Fittings'!C10</f>
        <v>Pcs</v>
      </c>
      <c r="E22" s="14">
        <v>4</v>
      </c>
      <c r="F22" s="15">
        <f>'[1]Water &amp; Press Fittings'!E10</f>
        <v>11.8</v>
      </c>
      <c r="G22" s="15">
        <f>E22*F22</f>
        <v>47.2</v>
      </c>
    </row>
    <row r="23" s="1" customFormat="1" spans="1:7">
      <c r="A23" s="13" t="s">
        <v>94</v>
      </c>
      <c r="B23" s="13" t="str">
        <f>'[1]Water &amp; Press Fittings'!A11</f>
        <v>35mm Water Press Equal Tee</v>
      </c>
      <c r="C23" s="13" t="str">
        <f>'[1]Water &amp; Press Fittings'!B11</f>
        <v>35mm</v>
      </c>
      <c r="D23" s="13" t="str">
        <f>'[1]Water &amp; Press Fittings'!C11</f>
        <v>Pcs</v>
      </c>
      <c r="E23" s="14">
        <v>2</v>
      </c>
      <c r="F23" s="15">
        <f>'[1]Water &amp; Press Fittings'!E11</f>
        <v>18.2</v>
      </c>
      <c r="G23" s="15">
        <f>E23*F23</f>
        <v>36.4</v>
      </c>
    </row>
    <row r="24" s="1" customFormat="1" spans="1:7">
      <c r="A24" s="13" t="s">
        <v>94</v>
      </c>
      <c r="B24" s="13" t="str">
        <f>'[1]Water &amp; Press Fittings'!A12</f>
        <v>35mm x 28mm Water Press Reducer MF</v>
      </c>
      <c r="C24" s="13" t="str">
        <f>'[1]Water &amp; Press Fittings'!B12</f>
        <v>35x28mm</v>
      </c>
      <c r="D24" s="13" t="str">
        <f>'[1]Water &amp; Press Fittings'!C12</f>
        <v>Pcs</v>
      </c>
      <c r="E24" s="14">
        <v>2</v>
      </c>
      <c r="F24" s="15">
        <f>'[1]Water &amp; Press Fittings'!E12</f>
        <v>9.8</v>
      </c>
      <c r="G24" s="15">
        <f>E24*F24</f>
        <v>19.6</v>
      </c>
    </row>
    <row r="25" s="1" customFormat="1" spans="1:7">
      <c r="A25" s="13" t="s">
        <v>94</v>
      </c>
      <c r="B25" s="13" t="str">
        <f>'[1]Water &amp; Press Fittings'!A13</f>
        <v>28mm Water Press Coupler</v>
      </c>
      <c r="C25" s="13" t="str">
        <f>'[1]Water &amp; Press Fittings'!B13</f>
        <v>28mm</v>
      </c>
      <c r="D25" s="13" t="str">
        <f>'[1]Water &amp; Press Fittings'!C13</f>
        <v>Pcs</v>
      </c>
      <c r="E25" s="14">
        <v>10</v>
      </c>
      <c r="F25" s="15">
        <f>'[1]Water &amp; Press Fittings'!E13</f>
        <v>4.8</v>
      </c>
      <c r="G25" s="15">
        <f>E25*F25</f>
        <v>48</v>
      </c>
    </row>
    <row r="26" s="1" customFormat="1" spans="1:7">
      <c r="A26" s="13" t="s">
        <v>94</v>
      </c>
      <c r="B26" s="13" t="str">
        <f>'[1]Water &amp; Press Fittings'!A14</f>
        <v>28mm Water Press Slip Coupler</v>
      </c>
      <c r="C26" s="13" t="str">
        <f>'[1]Water &amp; Press Fittings'!B14</f>
        <v>28mm</v>
      </c>
      <c r="D26" s="13" t="str">
        <f>'[1]Water &amp; Press Fittings'!C14</f>
        <v>Pcs</v>
      </c>
      <c r="E26" s="14">
        <f>'[1]Water &amp; Press Fittings'!D14</f>
        <v>0</v>
      </c>
      <c r="F26" s="15">
        <f>'[1]Water &amp; Press Fittings'!E14</f>
        <v>6.2</v>
      </c>
      <c r="G26" s="15">
        <f>E26*F26</f>
        <v>0</v>
      </c>
    </row>
    <row r="27" s="1" customFormat="1" spans="1:7">
      <c r="A27" s="13" t="s">
        <v>94</v>
      </c>
      <c r="B27" s="13" t="str">
        <f>'[1]Water &amp; Press Fittings'!A15</f>
        <v>28mm Water Press 90° Elbow FF</v>
      </c>
      <c r="C27" s="13" t="str">
        <f>'[1]Water &amp; Press Fittings'!B15</f>
        <v>28mm</v>
      </c>
      <c r="D27" s="13" t="str">
        <f>'[1]Water &amp; Press Fittings'!C15</f>
        <v>Pcs</v>
      </c>
      <c r="E27" s="14">
        <v>50</v>
      </c>
      <c r="F27" s="15">
        <f>'[1]Water &amp; Press Fittings'!E15</f>
        <v>6.9</v>
      </c>
      <c r="G27" s="15">
        <f>E27*F27</f>
        <v>345</v>
      </c>
    </row>
    <row r="28" s="1" customFormat="1" spans="1:7">
      <c r="A28" s="13" t="s">
        <v>94</v>
      </c>
      <c r="B28" s="13" t="str">
        <f>'[1]Water &amp; Press Fittings'!A16</f>
        <v>28mm Water Press 45° Elbow FF</v>
      </c>
      <c r="C28" s="13" t="str">
        <f>'[1]Water &amp; Press Fittings'!B16</f>
        <v>28mm</v>
      </c>
      <c r="D28" s="13" t="str">
        <f>'[1]Water &amp; Press Fittings'!C16</f>
        <v>Pcs</v>
      </c>
      <c r="E28" s="14">
        <v>18</v>
      </c>
      <c r="F28" s="15">
        <f>'[1]Water &amp; Press Fittings'!E16</f>
        <v>6.5</v>
      </c>
      <c r="G28" s="15">
        <f>E28*F28</f>
        <v>117</v>
      </c>
    </row>
    <row r="29" s="1" customFormat="1" spans="1:7">
      <c r="A29" s="13" t="s">
        <v>94</v>
      </c>
      <c r="B29" s="13" t="str">
        <f>'[1]Water &amp; Press Fittings'!A17</f>
        <v>28mm Water Press Equal Tee</v>
      </c>
      <c r="C29" s="13" t="str">
        <f>'[1]Water &amp; Press Fittings'!B17</f>
        <v>28mm</v>
      </c>
      <c r="D29" s="13" t="str">
        <f>'[1]Water &amp; Press Fittings'!C17</f>
        <v>Pcs</v>
      </c>
      <c r="E29" s="14">
        <v>16</v>
      </c>
      <c r="F29" s="15">
        <f>'[1]Water &amp; Press Fittings'!E17</f>
        <v>9.4</v>
      </c>
      <c r="G29" s="15">
        <f>E29*F29</f>
        <v>150.4</v>
      </c>
    </row>
    <row r="30" s="1" customFormat="1" spans="1:7">
      <c r="A30" s="13" t="s">
        <v>94</v>
      </c>
      <c r="B30" s="13" t="str">
        <f>'[1]Water &amp; Press Fittings'!A18</f>
        <v>28mm x 22mm x 28mm Press Tee</v>
      </c>
      <c r="C30" s="13" t="str">
        <f>'[1]Water &amp; Press Fittings'!B18</f>
        <v>28x22x28mm</v>
      </c>
      <c r="D30" s="13" t="str">
        <f>'[1]Water &amp; Press Fittings'!C18</f>
        <v>Pcs</v>
      </c>
      <c r="E30" s="14">
        <v>10</v>
      </c>
      <c r="F30" s="15">
        <f>'[1]Water &amp; Press Fittings'!E18</f>
        <v>10.2</v>
      </c>
      <c r="G30" s="15">
        <f>E30*F30</f>
        <v>102</v>
      </c>
    </row>
    <row r="31" s="1" customFormat="1" spans="1:7">
      <c r="A31" s="13" t="s">
        <v>94</v>
      </c>
      <c r="B31" s="13" t="str">
        <f>'[1]Water &amp; Press Fittings'!A19</f>
        <v>28mm x 15mm x 28mm Press Tee</v>
      </c>
      <c r="C31" s="13" t="str">
        <f>'[1]Water &amp; Press Fittings'!B19</f>
        <v>28x15x28mm</v>
      </c>
      <c r="D31" s="13" t="str">
        <f>'[1]Water &amp; Press Fittings'!C19</f>
        <v>Pcs</v>
      </c>
      <c r="E31" s="14">
        <v>8</v>
      </c>
      <c r="F31" s="15">
        <f>'[1]Water &amp; Press Fittings'!E19</f>
        <v>10.5</v>
      </c>
      <c r="G31" s="15">
        <f>E31*F31</f>
        <v>84</v>
      </c>
    </row>
    <row r="32" s="1" customFormat="1" spans="1:7">
      <c r="A32" s="13" t="s">
        <v>94</v>
      </c>
      <c r="B32" s="13" t="str">
        <f>'[1]Water &amp; Press Fittings'!A20</f>
        <v>28mm x 22mm Water Press Reducer MF</v>
      </c>
      <c r="C32" s="13" t="str">
        <f>'[1]Water &amp; Press Fittings'!B20</f>
        <v>28x22mm</v>
      </c>
      <c r="D32" s="13" t="str">
        <f>'[1]Water &amp; Press Fittings'!C20</f>
        <v>Pcs</v>
      </c>
      <c r="E32" s="14">
        <v>4</v>
      </c>
      <c r="F32" s="15">
        <f>'[1]Water &amp; Press Fittings'!E20</f>
        <v>5.2</v>
      </c>
      <c r="G32" s="15">
        <f>E32*F32</f>
        <v>20.8</v>
      </c>
    </row>
    <row r="33" s="1" customFormat="1" spans="1:7">
      <c r="A33" s="13" t="s">
        <v>94</v>
      </c>
      <c r="B33" s="13" t="str">
        <f>'[1]Water &amp; Press Fittings'!A21</f>
        <v>22mm Water Press Coupler</v>
      </c>
      <c r="C33" s="13" t="str">
        <f>'[1]Water &amp; Press Fittings'!B21</f>
        <v>22mm</v>
      </c>
      <c r="D33" s="13" t="str">
        <f>'[1]Water &amp; Press Fittings'!C21</f>
        <v>Pcs</v>
      </c>
      <c r="E33" s="14">
        <v>4</v>
      </c>
      <c r="F33" s="15">
        <f>'[1]Water &amp; Press Fittings'!E21</f>
        <v>2.9</v>
      </c>
      <c r="G33" s="15">
        <f>E33*F33</f>
        <v>11.6</v>
      </c>
    </row>
    <row r="34" s="1" customFormat="1" spans="1:7">
      <c r="A34" s="13" t="s">
        <v>94</v>
      </c>
      <c r="B34" s="13" t="str">
        <f>'[1]Water &amp; Press Fittings'!A22</f>
        <v>22mm Water Press Slip Coupler</v>
      </c>
      <c r="C34" s="13" t="str">
        <f>'[1]Water &amp; Press Fittings'!B22</f>
        <v>22mm</v>
      </c>
      <c r="D34" s="13" t="str">
        <f>'[1]Water &amp; Press Fittings'!C22</f>
        <v>Pcs</v>
      </c>
      <c r="E34" s="14">
        <f>'[1]Water &amp; Press Fittings'!D22</f>
        <v>0</v>
      </c>
      <c r="F34" s="15">
        <f>'[1]Water &amp; Press Fittings'!E22</f>
        <v>3.8</v>
      </c>
      <c r="G34" s="15">
        <f>E34*F34</f>
        <v>0</v>
      </c>
    </row>
    <row r="35" s="1" customFormat="1" spans="1:7">
      <c r="A35" s="13" t="s">
        <v>94</v>
      </c>
      <c r="B35" s="13" t="str">
        <f>'[1]Water &amp; Press Fittings'!A23</f>
        <v>22mm Water Press 90° Elbow FF</v>
      </c>
      <c r="C35" s="13" t="str">
        <f>'[1]Water &amp; Press Fittings'!B23</f>
        <v>22mm</v>
      </c>
      <c r="D35" s="13" t="str">
        <f>'[1]Water &amp; Press Fittings'!C23</f>
        <v>Pcs</v>
      </c>
      <c r="E35" s="14">
        <v>10</v>
      </c>
      <c r="F35" s="15">
        <f>'[1]Water &amp; Press Fittings'!E23</f>
        <v>3.6</v>
      </c>
      <c r="G35" s="15">
        <f>E35*F35</f>
        <v>36</v>
      </c>
    </row>
    <row r="36" s="1" customFormat="1" spans="1:7">
      <c r="A36" s="13" t="s">
        <v>94</v>
      </c>
      <c r="B36" s="13" t="str">
        <f>'[1]Water &amp; Press Fittings'!A24</f>
        <v>22mm Water Press 45° Elbow FF</v>
      </c>
      <c r="C36" s="13" t="str">
        <f>'[1]Water &amp; Press Fittings'!B24</f>
        <v>22mm</v>
      </c>
      <c r="D36" s="13" t="str">
        <f>'[1]Water &amp; Press Fittings'!C24</f>
        <v>Pcs</v>
      </c>
      <c r="E36" s="14">
        <v>8</v>
      </c>
      <c r="F36" s="15">
        <f>'[1]Water &amp; Press Fittings'!E24</f>
        <v>3.4</v>
      </c>
      <c r="G36" s="15">
        <f>E36*F36</f>
        <v>27.2</v>
      </c>
    </row>
    <row r="37" s="1" customFormat="1" spans="1:7">
      <c r="A37" s="13" t="s">
        <v>94</v>
      </c>
      <c r="B37" s="13" t="str">
        <f>'[1]Water &amp; Press Fittings'!A25</f>
        <v>22mm Water Press Equal Tee</v>
      </c>
      <c r="C37" s="13" t="str">
        <f>'[1]Water &amp; Press Fittings'!B25</f>
        <v>22mm</v>
      </c>
      <c r="D37" s="13" t="str">
        <f>'[1]Water &amp; Press Fittings'!C25</f>
        <v>Pcs</v>
      </c>
      <c r="E37" s="14">
        <v>4</v>
      </c>
      <c r="F37" s="15">
        <f>'[1]Water &amp; Press Fittings'!E25</f>
        <v>5.2</v>
      </c>
      <c r="G37" s="15">
        <f>E37*F37</f>
        <v>20.8</v>
      </c>
    </row>
    <row r="38" s="1" customFormat="1" spans="1:7">
      <c r="A38" s="13" t="s">
        <v>94</v>
      </c>
      <c r="B38" s="13" t="str">
        <f>'[1]Water &amp; Press Fittings'!A26</f>
        <v>22mm x 15mm x 22mm Press Tee</v>
      </c>
      <c r="C38" s="13" t="str">
        <f>'[1]Water &amp; Press Fittings'!B26</f>
        <v>22x15x22mm</v>
      </c>
      <c r="D38" s="13" t="str">
        <f>'[1]Water &amp; Press Fittings'!C26</f>
        <v>Pcs</v>
      </c>
      <c r="E38" s="14">
        <v>4</v>
      </c>
      <c r="F38" s="15">
        <f>'[1]Water &amp; Press Fittings'!E26</f>
        <v>5.8</v>
      </c>
      <c r="G38" s="15">
        <f>E38*F38</f>
        <v>23.2</v>
      </c>
    </row>
    <row r="39" s="1" customFormat="1" spans="1:7">
      <c r="A39" s="13" t="s">
        <v>94</v>
      </c>
      <c r="B39" s="13" t="str">
        <f>'[1]Water &amp; Press Fittings'!A27</f>
        <v>22mm x 15mm Water Press Reducer MF</v>
      </c>
      <c r="C39" s="13" t="str">
        <f>'[1]Water &amp; Press Fittings'!B27</f>
        <v>22x15mm</v>
      </c>
      <c r="D39" s="13" t="str">
        <f>'[1]Water &amp; Press Fittings'!C27</f>
        <v>Pcs</v>
      </c>
      <c r="E39" s="14">
        <v>6</v>
      </c>
      <c r="F39" s="15">
        <f>'[1]Water &amp; Press Fittings'!E27</f>
        <v>3.1</v>
      </c>
      <c r="G39" s="15">
        <f>E39*F39</f>
        <v>18.6</v>
      </c>
    </row>
    <row r="40" s="1" customFormat="1" spans="1:7">
      <c r="A40" s="13" t="s">
        <v>94</v>
      </c>
      <c r="B40" s="13" t="str">
        <f>'[1]Water &amp; Press Fittings'!A28</f>
        <v>22mm Water Press x 3/4" Male Adaptor</v>
      </c>
      <c r="C40" s="13" t="str">
        <f>'[1]Water &amp; Press Fittings'!B28</f>
        <v>22mm x 3/4"</v>
      </c>
      <c r="D40" s="13" t="str">
        <f>'[1]Water &amp; Press Fittings'!C28</f>
        <v>Pcs</v>
      </c>
      <c r="E40" s="14">
        <v>4</v>
      </c>
      <c r="F40" s="15">
        <f>'[1]Water &amp; Press Fittings'!E28</f>
        <v>6.5</v>
      </c>
      <c r="G40" s="15">
        <f>E40*F40</f>
        <v>26</v>
      </c>
    </row>
    <row r="41" s="1" customFormat="1" spans="1:7">
      <c r="A41" s="13" t="s">
        <v>94</v>
      </c>
      <c r="B41" s="13" t="str">
        <f>'[1]Water &amp; Press Fittings'!A29</f>
        <v>22mm Water Press Stop End / Cap</v>
      </c>
      <c r="C41" s="13" t="str">
        <f>'[1]Water &amp; Press Fittings'!B29</f>
        <v>22mm</v>
      </c>
      <c r="D41" s="13" t="str">
        <f>'[1]Water &amp; Press Fittings'!C29</f>
        <v>Pcs</v>
      </c>
      <c r="E41" s="14">
        <v>1</v>
      </c>
      <c r="F41" s="15">
        <f>'[1]Water &amp; Press Fittings'!E29</f>
        <v>4.2</v>
      </c>
      <c r="G41" s="15">
        <f>E41*F41</f>
        <v>4.2</v>
      </c>
    </row>
    <row r="42" s="1" customFormat="1" spans="1:7">
      <c r="A42" s="13" t="s">
        <v>94</v>
      </c>
      <c r="B42" s="13" t="str">
        <f>'[1]Water &amp; Press Fittings'!A30</f>
        <v>15mm Water Press Coupler</v>
      </c>
      <c r="C42" s="13" t="str">
        <f>'[1]Water &amp; Press Fittings'!B30</f>
        <v>15mm</v>
      </c>
      <c r="D42" s="13" t="str">
        <f>'[1]Water &amp; Press Fittings'!C30</f>
        <v>Pcs</v>
      </c>
      <c r="E42" s="14">
        <f>'[1]Water &amp; Press Fittings'!D30</f>
        <v>0</v>
      </c>
      <c r="F42" s="15">
        <f>'[1]Water &amp; Press Fittings'!E30</f>
        <v>2.1</v>
      </c>
      <c r="G42" s="15">
        <f>E42*F42</f>
        <v>0</v>
      </c>
    </row>
    <row r="43" s="1" customFormat="1" spans="1:7">
      <c r="A43" s="13" t="s">
        <v>94</v>
      </c>
      <c r="B43" s="13" t="str">
        <f>'[1]Water &amp; Press Fittings'!A31</f>
        <v>15mm Water Press 90° Elbow FF</v>
      </c>
      <c r="C43" s="13" t="str">
        <f>'[1]Water &amp; Press Fittings'!B31</f>
        <v>15mm</v>
      </c>
      <c r="D43" s="13" t="str">
        <f>'[1]Water &amp; Press Fittings'!C31</f>
        <v>Pcs</v>
      </c>
      <c r="E43" s="14">
        <v>20</v>
      </c>
      <c r="F43" s="15">
        <f>'[1]Water &amp; Press Fittings'!E31</f>
        <v>2.6</v>
      </c>
      <c r="G43" s="15">
        <f>E43*F43</f>
        <v>52</v>
      </c>
    </row>
    <row r="44" s="1" customFormat="1" spans="1:7">
      <c r="A44" s="13" t="s">
        <v>94</v>
      </c>
      <c r="B44" s="13" t="str">
        <f>'[1]Water &amp; Press Fittings'!A32</f>
        <v>15mm Water Press 45° Elbow FF</v>
      </c>
      <c r="C44" s="13" t="str">
        <f>'[1]Water &amp; Press Fittings'!B32</f>
        <v>15mm</v>
      </c>
      <c r="D44" s="13" t="str">
        <f>'[1]Water &amp; Press Fittings'!C32</f>
        <v>Pcs</v>
      </c>
      <c r="E44" s="14">
        <v>10</v>
      </c>
      <c r="F44" s="15">
        <f>'[1]Water &amp; Press Fittings'!E32</f>
        <v>2.5</v>
      </c>
      <c r="G44" s="15">
        <f>E44*F44</f>
        <v>25</v>
      </c>
    </row>
    <row r="45" s="1" customFormat="1" spans="1:7">
      <c r="A45" s="13" t="s">
        <v>94</v>
      </c>
      <c r="B45" s="13" t="str">
        <f>'[1]Water &amp; Press Fittings'!A33</f>
        <v>15mm Water Press Equal Tee</v>
      </c>
      <c r="C45" s="13" t="str">
        <f>'[1]Water &amp; Press Fittings'!B33</f>
        <v>15mm</v>
      </c>
      <c r="D45" s="13" t="str">
        <f>'[1]Water &amp; Press Fittings'!C33</f>
        <v>Pcs</v>
      </c>
      <c r="E45" s="14">
        <v>8</v>
      </c>
      <c r="F45" s="15">
        <f>'[1]Water &amp; Press Fittings'!E33</f>
        <v>3.8</v>
      </c>
      <c r="G45" s="15">
        <f>E45*F45</f>
        <v>30.4</v>
      </c>
    </row>
    <row r="46" s="1" customFormat="1" spans="1:7">
      <c r="A46" s="13" t="s">
        <v>94</v>
      </c>
      <c r="B46" s="13" t="str">
        <f>'[1]Water &amp; Press Fittings'!A34</f>
        <v>15mm Water Press x 1/2" Wall Plate Elbow</v>
      </c>
      <c r="C46" s="13" t="str">
        <f>'[1]Water &amp; Press Fittings'!B34</f>
        <v>15mm x 1/2"</v>
      </c>
      <c r="D46" s="13" t="str">
        <f>'[1]Water &amp; Press Fittings'!C34</f>
        <v>Pcs</v>
      </c>
      <c r="E46" s="14">
        <f>'[1]Water &amp; Press Fittings'!D34</f>
        <v>0</v>
      </c>
      <c r="F46" s="15">
        <f>'[1]Water &amp; Press Fittings'!E34</f>
        <v>8.9</v>
      </c>
      <c r="G46" s="15">
        <f>E46*F46</f>
        <v>0</v>
      </c>
    </row>
    <row r="47" s="1" customFormat="1" spans="1:7">
      <c r="A47" s="13" t="s">
        <v>94</v>
      </c>
      <c r="B47" s="13" t="str">
        <f>'[1]Water &amp; Press Fittings'!A35</f>
        <v>15mm Water Press x 1/2" Male Adaptor</v>
      </c>
      <c r="C47" s="13" t="str">
        <f>'[1]Water &amp; Press Fittings'!B35</f>
        <v>15mm x 1/2"</v>
      </c>
      <c r="D47" s="13" t="str">
        <f>'[1]Water &amp; Press Fittings'!C35</f>
        <v>Pcs</v>
      </c>
      <c r="E47" s="14">
        <v>4</v>
      </c>
      <c r="F47" s="15">
        <f>'[1]Water &amp; Press Fittings'!E35</f>
        <v>4.2</v>
      </c>
      <c r="G47" s="15">
        <f>E47*F47</f>
        <v>16.8</v>
      </c>
    </row>
    <row r="48" s="1" customFormat="1" spans="1:7">
      <c r="A48" s="13" t="s">
        <v>94</v>
      </c>
      <c r="B48" s="13" t="str">
        <f>'[1]Water &amp; Press Fittings'!A36</f>
        <v>15mm Water Press Stop End / Cap</v>
      </c>
      <c r="C48" s="13" t="str">
        <f>'[1]Water &amp; Press Fittings'!B36</f>
        <v>15mm</v>
      </c>
      <c r="D48" s="13" t="str">
        <f>'[1]Water &amp; Press Fittings'!C36</f>
        <v>Pcs</v>
      </c>
      <c r="E48" s="14">
        <v>2</v>
      </c>
      <c r="F48" s="15">
        <f>'[1]Water &amp; Press Fittings'!E36</f>
        <v>3.1</v>
      </c>
      <c r="G48" s="15">
        <f>E48*F48</f>
        <v>6.2</v>
      </c>
    </row>
    <row r="49" s="1" customFormat="1" spans="1:7">
      <c r="A49" s="13" t="s">
        <v>95</v>
      </c>
      <c r="B49" s="13" t="str">
        <f>'[1]Gas Press Fittings'!A4</f>
        <v>35mm Gas Press Coupler (Yellow Seal)</v>
      </c>
      <c r="C49" s="13" t="str">
        <f>'[1]Gas Press Fittings'!B4</f>
        <v>35mm</v>
      </c>
      <c r="D49" s="13" t="str">
        <f>'[1]Gas Press Fittings'!C4</f>
        <v>Pcs</v>
      </c>
      <c r="E49" s="14">
        <v>1</v>
      </c>
      <c r="F49" s="15">
        <f>'[1]Gas Press Fittings'!E4</f>
        <v>11.2</v>
      </c>
      <c r="G49" s="15">
        <f>E49*F49</f>
        <v>11.2</v>
      </c>
    </row>
    <row r="50" s="1" customFormat="1" spans="1:7">
      <c r="A50" s="13" t="s">
        <v>95</v>
      </c>
      <c r="B50" s="13" t="str">
        <f>'[1]Gas Press Fittings'!A5</f>
        <v>35mm Gas Press 90° Elbow FF</v>
      </c>
      <c r="C50" s="13" t="str">
        <f>'[1]Gas Press Fittings'!B5</f>
        <v>35mm</v>
      </c>
      <c r="D50" s="13" t="str">
        <f>'[1]Gas Press Fittings'!C5</f>
        <v>Pcs</v>
      </c>
      <c r="E50" s="14">
        <v>4</v>
      </c>
      <c r="F50" s="15">
        <f>'[1]Gas Press Fittings'!E5</f>
        <v>15.8</v>
      </c>
      <c r="G50" s="15">
        <f>E50*F50</f>
        <v>63.2</v>
      </c>
    </row>
    <row r="51" s="1" customFormat="1" spans="1:7">
      <c r="A51" s="13" t="s">
        <v>95</v>
      </c>
      <c r="B51" s="13" t="str">
        <f>'[1]Gas Press Fittings'!A6</f>
        <v>35mm Gas Press 45° Elbow FF</v>
      </c>
      <c r="C51" s="13" t="str">
        <f>'[1]Gas Press Fittings'!B6</f>
        <v>35mm</v>
      </c>
      <c r="D51" s="13" t="str">
        <f>'[1]Gas Press Fittings'!C6</f>
        <v>Pcs</v>
      </c>
      <c r="E51" s="14">
        <v>4</v>
      </c>
      <c r="F51" s="15">
        <f>'[1]Gas Press Fittings'!E6</f>
        <v>14.9</v>
      </c>
      <c r="G51" s="15">
        <f>E51*F51</f>
        <v>59.6</v>
      </c>
    </row>
    <row r="52" s="1" customFormat="1" spans="1:7">
      <c r="A52" s="13" t="s">
        <v>95</v>
      </c>
      <c r="B52" s="13" t="str">
        <f>'[1]Gas Press Fittings'!A7</f>
        <v>35mm Gas Press Equal Tee</v>
      </c>
      <c r="C52" s="13" t="str">
        <f>'[1]Gas Press Fittings'!B7</f>
        <v>35mm</v>
      </c>
      <c r="D52" s="13" t="str">
        <f>'[1]Gas Press Fittings'!C7</f>
        <v>Pcs</v>
      </c>
      <c r="E52" s="14">
        <f>'[1]Gas Press Fittings'!D7</f>
        <v>0</v>
      </c>
      <c r="F52" s="15">
        <f>'[1]Gas Press Fittings'!E7</f>
        <v>22.5</v>
      </c>
      <c r="G52" s="15">
        <f>E52*F52</f>
        <v>0</v>
      </c>
    </row>
    <row r="53" s="1" customFormat="1" spans="1:7">
      <c r="A53" s="13" t="s">
        <v>95</v>
      </c>
      <c r="B53" s="13" t="str">
        <f>'[1]Gas Press Fittings'!A8</f>
        <v>35mm x 28mm Gas Press Reducer MF</v>
      </c>
      <c r="C53" s="13" t="str">
        <f>'[1]Gas Press Fittings'!B8</f>
        <v>35x28mm</v>
      </c>
      <c r="D53" s="13" t="str">
        <f>'[1]Gas Press Fittings'!C8</f>
        <v>Pcs</v>
      </c>
      <c r="E53" s="14">
        <v>1</v>
      </c>
      <c r="F53" s="15">
        <f>'[1]Gas Press Fittings'!E8</f>
        <v>12.4</v>
      </c>
      <c r="G53" s="15">
        <f>E53*F53</f>
        <v>12.4</v>
      </c>
    </row>
    <row r="54" s="1" customFormat="1" spans="1:7">
      <c r="A54" s="13" t="s">
        <v>95</v>
      </c>
      <c r="B54" s="13" t="str">
        <f>'[1]Gas Press Fittings'!A9</f>
        <v>28mm Gas Press Coupler (Yellow Seal)</v>
      </c>
      <c r="C54" s="13" t="str">
        <f>'[1]Gas Press Fittings'!B9</f>
        <v>28mm</v>
      </c>
      <c r="D54" s="13" t="str">
        <f>'[1]Gas Press Fittings'!C9</f>
        <v>Pcs</v>
      </c>
      <c r="E54" s="14">
        <v>2</v>
      </c>
      <c r="F54" s="15">
        <f>'[1]Gas Press Fittings'!E9</f>
        <v>6.4</v>
      </c>
      <c r="G54" s="15">
        <f>E54*F54</f>
        <v>12.8</v>
      </c>
    </row>
    <row r="55" s="1" customFormat="1" spans="1:7">
      <c r="A55" s="13" t="s">
        <v>95</v>
      </c>
      <c r="B55" s="13" t="str">
        <f>'[1]Gas Press Fittings'!A10</f>
        <v>28mm Gas Press Slip Coupler</v>
      </c>
      <c r="C55" s="13" t="str">
        <f>'[1]Gas Press Fittings'!B10</f>
        <v>28mm</v>
      </c>
      <c r="D55" s="13" t="str">
        <f>'[1]Gas Press Fittings'!C10</f>
        <v>Pcs</v>
      </c>
      <c r="E55" s="14">
        <f>'[1]Gas Press Fittings'!D10</f>
        <v>0</v>
      </c>
      <c r="F55" s="15">
        <f>'[1]Gas Press Fittings'!E10</f>
        <v>8.2</v>
      </c>
      <c r="G55" s="15">
        <f>E55*F55</f>
        <v>0</v>
      </c>
    </row>
    <row r="56" s="1" customFormat="1" spans="1:7">
      <c r="A56" s="13" t="s">
        <v>95</v>
      </c>
      <c r="B56" s="13" t="str">
        <f>'[1]Gas Press Fittings'!A11</f>
        <v>28mm Gas Press 90° Elbow FF</v>
      </c>
      <c r="C56" s="13" t="str">
        <f>'[1]Gas Press Fittings'!B11</f>
        <v>28mm</v>
      </c>
      <c r="D56" s="13" t="str">
        <f>'[1]Gas Press Fittings'!C11</f>
        <v>Pcs</v>
      </c>
      <c r="E56" s="14">
        <v>6</v>
      </c>
      <c r="F56" s="15">
        <f>'[1]Gas Press Fittings'!E11</f>
        <v>8.9</v>
      </c>
      <c r="G56" s="15">
        <f>E56*F56</f>
        <v>53.4</v>
      </c>
    </row>
    <row r="57" s="1" customFormat="1" spans="1:7">
      <c r="A57" s="13" t="s">
        <v>95</v>
      </c>
      <c r="B57" s="13" t="str">
        <f>'[1]Gas Press Fittings'!A12</f>
        <v>28mm Gas Press 45° Elbow FF</v>
      </c>
      <c r="C57" s="13" t="str">
        <f>'[1]Gas Press Fittings'!B12</f>
        <v>28mm</v>
      </c>
      <c r="D57" s="13" t="str">
        <f>'[1]Gas Press Fittings'!C12</f>
        <v>Pcs</v>
      </c>
      <c r="E57" s="14">
        <v>6</v>
      </c>
      <c r="F57" s="15">
        <f>'[1]Gas Press Fittings'!E12</f>
        <v>8.5</v>
      </c>
      <c r="G57" s="15">
        <f>E57*F57</f>
        <v>51</v>
      </c>
    </row>
    <row r="58" s="1" customFormat="1" spans="1:7">
      <c r="A58" s="13" t="s">
        <v>95</v>
      </c>
      <c r="B58" s="13" t="str">
        <f>'[1]Gas Press Fittings'!A13</f>
        <v>28mm Gas Press Equal Tee</v>
      </c>
      <c r="C58" s="13" t="str">
        <f>'[1]Gas Press Fittings'!B13</f>
        <v>28mm</v>
      </c>
      <c r="D58" s="13" t="str">
        <f>'[1]Gas Press Fittings'!C13</f>
        <v>Pcs</v>
      </c>
      <c r="E58" s="14">
        <f>'[1]Gas Press Fittings'!D13</f>
        <v>0</v>
      </c>
      <c r="F58" s="15">
        <f>'[1]Gas Press Fittings'!E13</f>
        <v>12.1</v>
      </c>
      <c r="G58" s="15">
        <f>E58*F58</f>
        <v>0</v>
      </c>
    </row>
    <row r="59" s="1" customFormat="1" spans="1:7">
      <c r="A59" s="13" t="s">
        <v>95</v>
      </c>
      <c r="B59" s="13" t="str">
        <f>'[1]Gas Press Fittings'!A14</f>
        <v>28mm x 22mm x 28mm Gas Press Tee</v>
      </c>
      <c r="C59" s="13" t="str">
        <f>'[1]Gas Press Fittings'!B14</f>
        <v>28x22x28mm</v>
      </c>
      <c r="D59" s="13" t="str">
        <f>'[1]Gas Press Fittings'!C14</f>
        <v>Pcs</v>
      </c>
      <c r="E59" s="14">
        <f>'[1]Gas Press Fittings'!D14</f>
        <v>0</v>
      </c>
      <c r="F59" s="15">
        <f>'[1]Gas Press Fittings'!E14</f>
        <v>13.5</v>
      </c>
      <c r="G59" s="15">
        <f>E59*F59</f>
        <v>0</v>
      </c>
    </row>
    <row r="60" s="1" customFormat="1" spans="1:7">
      <c r="A60" s="13" t="s">
        <v>95</v>
      </c>
      <c r="B60" s="13" t="str">
        <f>'[1]Gas Press Fittings'!A15</f>
        <v>28mm x 22mm Gas Press Reducer MF</v>
      </c>
      <c r="C60" s="13" t="str">
        <f>'[1]Gas Press Fittings'!B15</f>
        <v>28x22mm</v>
      </c>
      <c r="D60" s="13" t="str">
        <f>'[1]Gas Press Fittings'!C15</f>
        <v>Pcs</v>
      </c>
      <c r="E60" s="14">
        <v>1</v>
      </c>
      <c r="F60" s="15">
        <f>'[1]Gas Press Fittings'!E15</f>
        <v>6.8</v>
      </c>
      <c r="G60" s="15">
        <f>E60*F60</f>
        <v>6.8</v>
      </c>
    </row>
    <row r="61" s="1" customFormat="1" spans="1:7">
      <c r="A61" s="13" t="s">
        <v>95</v>
      </c>
      <c r="B61" s="13" t="str">
        <f>'[1]Gas Press Fittings'!A16</f>
        <v>28mm Gas Press x 1" Male Adaptor</v>
      </c>
      <c r="C61" s="13" t="str">
        <f>'[1]Gas Press Fittings'!B16</f>
        <v>28mm x 1"</v>
      </c>
      <c r="D61" s="13" t="str">
        <f>'[1]Gas Press Fittings'!C16</f>
        <v>Pcs</v>
      </c>
      <c r="E61" s="14">
        <f>'[1]Gas Press Fittings'!D16</f>
        <v>0</v>
      </c>
      <c r="F61" s="15">
        <f>'[1]Gas Press Fittings'!E16</f>
        <v>11.5</v>
      </c>
      <c r="G61" s="15">
        <f>E61*F61</f>
        <v>0</v>
      </c>
    </row>
    <row r="62" s="1" customFormat="1" spans="1:7">
      <c r="A62" s="13" t="s">
        <v>95</v>
      </c>
      <c r="B62" s="13" t="str">
        <f>'[1]Gas Press Fittings'!A17</f>
        <v>28mm Gas Press x BS 746 Meter Union</v>
      </c>
      <c r="C62" s="13" t="str">
        <f>'[1]Gas Press Fittings'!B17</f>
        <v>28mm x BS746</v>
      </c>
      <c r="D62" s="13" t="str">
        <f>'[1]Gas Press Fittings'!C17</f>
        <v>Pcs</v>
      </c>
      <c r="E62" s="14">
        <f>'[1]Gas Press Fittings'!D17</f>
        <v>0</v>
      </c>
      <c r="F62" s="15">
        <f>'[1]Gas Press Fittings'!E17</f>
        <v>18.9</v>
      </c>
      <c r="G62" s="15">
        <f>E62*F62</f>
        <v>0</v>
      </c>
    </row>
    <row r="63" s="1" customFormat="1" spans="1:7">
      <c r="A63" s="13" t="s">
        <v>95</v>
      </c>
      <c r="B63" s="13" t="str">
        <f>'[1]Gas Press Fittings'!A18</f>
        <v>22mm Gas Press Coupler (Yellow Seal)</v>
      </c>
      <c r="C63" s="13" t="str">
        <f>'[1]Gas Press Fittings'!B18</f>
        <v>22mm</v>
      </c>
      <c r="D63" s="13" t="str">
        <f>'[1]Gas Press Fittings'!C18</f>
        <v>Pcs</v>
      </c>
      <c r="E63" s="14">
        <v>1</v>
      </c>
      <c r="F63" s="15">
        <f>'[1]Gas Press Fittings'!E18</f>
        <v>3.8</v>
      </c>
      <c r="G63" s="15">
        <f>E63*F63</f>
        <v>3.8</v>
      </c>
    </row>
    <row r="64" s="1" customFormat="1" spans="1:7">
      <c r="A64" s="13" t="s">
        <v>95</v>
      </c>
      <c r="B64" s="13" t="str">
        <f>'[1]Gas Press Fittings'!A19</f>
        <v>22mm Gas Press Slip Coupler</v>
      </c>
      <c r="C64" s="13" t="str">
        <f>'[1]Gas Press Fittings'!B19</f>
        <v>22mm</v>
      </c>
      <c r="D64" s="13" t="str">
        <f>'[1]Gas Press Fittings'!C19</f>
        <v>Pcs</v>
      </c>
      <c r="E64" s="14">
        <f>'[1]Gas Press Fittings'!D19</f>
        <v>0</v>
      </c>
      <c r="F64" s="15">
        <f>'[1]Gas Press Fittings'!E19</f>
        <v>5.1</v>
      </c>
      <c r="G64" s="15">
        <f>E64*F64</f>
        <v>0</v>
      </c>
    </row>
    <row r="65" s="1" customFormat="1" spans="1:7">
      <c r="A65" s="13" t="s">
        <v>95</v>
      </c>
      <c r="B65" s="13" t="str">
        <f>'[1]Gas Press Fittings'!A20</f>
        <v>22mm Gas Press 90° Elbow FF</v>
      </c>
      <c r="C65" s="13" t="str">
        <f>'[1]Gas Press Fittings'!B20</f>
        <v>22mm</v>
      </c>
      <c r="D65" s="13" t="str">
        <f>'[1]Gas Press Fittings'!C20</f>
        <v>Pcs</v>
      </c>
      <c r="E65" s="14">
        <v>4</v>
      </c>
      <c r="F65" s="15">
        <f>'[1]Gas Press Fittings'!E20</f>
        <v>4.7</v>
      </c>
      <c r="G65" s="15">
        <f>E65*F65</f>
        <v>18.8</v>
      </c>
    </row>
    <row r="66" s="1" customFormat="1" spans="1:7">
      <c r="A66" s="13" t="s">
        <v>95</v>
      </c>
      <c r="B66" s="13" t="str">
        <f>'[1]Gas Press Fittings'!A21</f>
        <v>22mm Gas Press 45° Elbow FF</v>
      </c>
      <c r="C66" s="13" t="str">
        <f>'[1]Gas Press Fittings'!B21</f>
        <v>22mm</v>
      </c>
      <c r="D66" s="13" t="str">
        <f>'[1]Gas Press Fittings'!C21</f>
        <v>Pcs</v>
      </c>
      <c r="E66" s="14">
        <v>4</v>
      </c>
      <c r="F66" s="15">
        <f>'[1]Gas Press Fittings'!E21</f>
        <v>4.4</v>
      </c>
      <c r="G66" s="15">
        <f>E66*F66</f>
        <v>17.6</v>
      </c>
    </row>
    <row r="67" s="1" customFormat="1" spans="1:7">
      <c r="A67" s="13" t="s">
        <v>95</v>
      </c>
      <c r="B67" s="13" t="str">
        <f>'[1]Gas Press Fittings'!A22</f>
        <v>22mm Gas Press Equal Tee</v>
      </c>
      <c r="C67" s="13" t="str">
        <f>'[1]Gas Press Fittings'!B22</f>
        <v>22mm</v>
      </c>
      <c r="D67" s="13" t="str">
        <f>'[1]Gas Press Fittings'!C22</f>
        <v>Pcs</v>
      </c>
      <c r="E67" s="14">
        <f>'[1]Gas Press Fittings'!D22</f>
        <v>0</v>
      </c>
      <c r="F67" s="15">
        <f>'[1]Gas Press Fittings'!E22</f>
        <v>6.8</v>
      </c>
      <c r="G67" s="15">
        <f>E67*F67</f>
        <v>0</v>
      </c>
    </row>
    <row r="68" s="1" customFormat="1" spans="1:7">
      <c r="A68" s="13" t="s">
        <v>95</v>
      </c>
      <c r="B68" s="13" t="str">
        <f>'[1]Gas Press Fittings'!A23</f>
        <v>22mm x 15mm x 22mm Gas Press Tee</v>
      </c>
      <c r="C68" s="13" t="str">
        <f>'[1]Gas Press Fittings'!B23</f>
        <v>22x15x22mm</v>
      </c>
      <c r="D68" s="13" t="str">
        <f>'[1]Gas Press Fittings'!C23</f>
        <v>Pcs</v>
      </c>
      <c r="E68" s="14">
        <v>0</v>
      </c>
      <c r="F68" s="15">
        <f>'[1]Gas Press Fittings'!E23</f>
        <v>7.4</v>
      </c>
      <c r="G68" s="15">
        <f>E68*F68</f>
        <v>0</v>
      </c>
    </row>
    <row r="69" s="1" customFormat="1" spans="1:7">
      <c r="A69" s="13" t="s">
        <v>95</v>
      </c>
      <c r="B69" s="13" t="str">
        <f>'[1]Gas Press Fittings'!A24</f>
        <v>22mm x 15mm Gas Press Reducer MF</v>
      </c>
      <c r="C69" s="13" t="str">
        <f>'[1]Gas Press Fittings'!B24</f>
        <v>22x15mm</v>
      </c>
      <c r="D69" s="13" t="str">
        <f>'[1]Gas Press Fittings'!C24</f>
        <v>Pcs</v>
      </c>
      <c r="E69" s="14">
        <v>1</v>
      </c>
      <c r="F69" s="15">
        <f>'[1]Gas Press Fittings'!E24</f>
        <v>4.1</v>
      </c>
      <c r="G69" s="15">
        <f>E69*F69</f>
        <v>4.1</v>
      </c>
    </row>
    <row r="70" s="1" customFormat="1" spans="1:7">
      <c r="A70" s="13" t="s">
        <v>95</v>
      </c>
      <c r="B70" s="13" t="str">
        <f>'[1]Gas Press Fittings'!A25</f>
        <v>22mm Gas Press x 3/4" Male Adaptor</v>
      </c>
      <c r="C70" s="13" t="str">
        <f>'[1]Gas Press Fittings'!B25</f>
        <v>22mm x 3/4"</v>
      </c>
      <c r="D70" s="13" t="str">
        <f>'[1]Gas Press Fittings'!C25</f>
        <v>Pcs</v>
      </c>
      <c r="E70" s="14">
        <v>1</v>
      </c>
      <c r="F70" s="15">
        <f>'[1]Gas Press Fittings'!E25</f>
        <v>7.8</v>
      </c>
      <c r="G70" s="15">
        <f>E70*F70</f>
        <v>7.8</v>
      </c>
    </row>
    <row r="71" s="1" customFormat="1" spans="1:7">
      <c r="A71" s="13" t="s">
        <v>95</v>
      </c>
      <c r="B71" s="13" t="str">
        <f>'[1]Gas Press Fittings'!A26</f>
        <v>22mm Gas Press x BS 746 Meter Union</v>
      </c>
      <c r="C71" s="13" t="str">
        <f>'[1]Gas Press Fittings'!B26</f>
        <v>22mm x BS746</v>
      </c>
      <c r="D71" s="13" t="str">
        <f>'[1]Gas Press Fittings'!C26</f>
        <v>Pcs</v>
      </c>
      <c r="E71" s="14">
        <f>'[1]Gas Press Fittings'!D26</f>
        <v>0</v>
      </c>
      <c r="F71" s="15">
        <f>'[1]Gas Press Fittings'!E26</f>
        <v>14.5</v>
      </c>
      <c r="G71" s="15">
        <f>E71*F71</f>
        <v>0</v>
      </c>
    </row>
    <row r="72" s="1" customFormat="1" spans="1:7">
      <c r="A72" s="13" t="s">
        <v>95</v>
      </c>
      <c r="B72" s="13" t="str">
        <f>'[1]Gas Press Fittings'!A27</f>
        <v>22mm Gas Press Stop End / Cap</v>
      </c>
      <c r="C72" s="13" t="str">
        <f>'[1]Gas Press Fittings'!B27</f>
        <v>22mm</v>
      </c>
      <c r="D72" s="13" t="str">
        <f>'[1]Gas Press Fittings'!C27</f>
        <v>Pcs</v>
      </c>
      <c r="E72" s="14">
        <f>'[1]Gas Press Fittings'!D27</f>
        <v>0</v>
      </c>
      <c r="F72" s="15">
        <f>'[1]Gas Press Fittings'!E27</f>
        <v>5.2</v>
      </c>
      <c r="G72" s="15">
        <f>E72*F72</f>
        <v>0</v>
      </c>
    </row>
    <row r="73" s="1" customFormat="1" spans="1:7">
      <c r="A73" s="13" t="s">
        <v>95</v>
      </c>
      <c r="B73" s="13" t="str">
        <f>'[1]Gas Press Fittings'!A28</f>
        <v>15mm Gas Press Coupler (Yellow Seal)</v>
      </c>
      <c r="C73" s="13" t="str">
        <f>'[1]Gas Press Fittings'!B28</f>
        <v>15mm</v>
      </c>
      <c r="D73" s="13" t="str">
        <f>'[1]Gas Press Fittings'!C28</f>
        <v>Pcs</v>
      </c>
      <c r="E73" s="14">
        <f>'[1]Gas Press Fittings'!D28</f>
        <v>0</v>
      </c>
      <c r="F73" s="15">
        <f>'[1]Gas Press Fittings'!E28</f>
        <v>2.8</v>
      </c>
      <c r="G73" s="15">
        <f>E73*F73</f>
        <v>0</v>
      </c>
    </row>
    <row r="74" s="1" customFormat="1" spans="1:7">
      <c r="A74" s="13" t="s">
        <v>95</v>
      </c>
      <c r="B74" s="13" t="str">
        <f>'[1]Gas Press Fittings'!A29</f>
        <v>15mm Gas Press 90° Elbow FF</v>
      </c>
      <c r="C74" s="13" t="str">
        <f>'[1]Gas Press Fittings'!B29</f>
        <v>15mm</v>
      </c>
      <c r="D74" s="13" t="str">
        <f>'[1]Gas Press Fittings'!C29</f>
        <v>Pcs</v>
      </c>
      <c r="E74" s="14">
        <v>4</v>
      </c>
      <c r="F74" s="15">
        <f>'[1]Gas Press Fittings'!E29</f>
        <v>3.5</v>
      </c>
      <c r="G74" s="15">
        <f>E74*F74</f>
        <v>14</v>
      </c>
    </row>
    <row r="75" s="1" customFormat="1" spans="1:7">
      <c r="A75" s="13" t="s">
        <v>95</v>
      </c>
      <c r="B75" s="13" t="str">
        <f>'[1]Gas Press Fittings'!A30</f>
        <v>15mm Gas Press 45° Elbow FF</v>
      </c>
      <c r="C75" s="13" t="str">
        <f>'[1]Gas Press Fittings'!B30</f>
        <v>15mm</v>
      </c>
      <c r="D75" s="13" t="str">
        <f>'[1]Gas Press Fittings'!C30</f>
        <v>Pcs</v>
      </c>
      <c r="E75" s="14">
        <v>4</v>
      </c>
      <c r="F75" s="15">
        <f>'[1]Gas Press Fittings'!E30</f>
        <v>3.3</v>
      </c>
      <c r="G75" s="15">
        <f>E75*F75</f>
        <v>13.2</v>
      </c>
    </row>
    <row r="76" s="1" customFormat="1" spans="1:7">
      <c r="A76" s="13" t="s">
        <v>95</v>
      </c>
      <c r="B76" s="13" t="str">
        <f>'[1]Gas Press Fittings'!A31</f>
        <v>15mm Gas Press Equal Tee</v>
      </c>
      <c r="C76" s="13" t="str">
        <f>'[1]Gas Press Fittings'!B31</f>
        <v>15mm</v>
      </c>
      <c r="D76" s="13" t="str">
        <f>'[1]Gas Press Fittings'!C31</f>
        <v>Pcs</v>
      </c>
      <c r="E76" s="14">
        <f>'[1]Gas Press Fittings'!D31</f>
        <v>0</v>
      </c>
      <c r="F76" s="15">
        <f>'[1]Gas Press Fittings'!E31</f>
        <v>4.9</v>
      </c>
      <c r="G76" s="15">
        <f>E76*F76</f>
        <v>0</v>
      </c>
    </row>
    <row r="77" s="1" customFormat="1" spans="1:7">
      <c r="A77" s="13" t="s">
        <v>95</v>
      </c>
      <c r="B77" s="13" t="str">
        <f>'[1]Gas Press Fittings'!A32</f>
        <v>15mm Gas Press x 1/2" Male Adaptor</v>
      </c>
      <c r="C77" s="13" t="str">
        <f>'[1]Gas Press Fittings'!B32</f>
        <v>15mm x 1/2"</v>
      </c>
      <c r="D77" s="13" t="str">
        <f>'[1]Gas Press Fittings'!C32</f>
        <v>Pcs</v>
      </c>
      <c r="E77" s="14">
        <f>'[1]Gas Press Fittings'!D32</f>
        <v>0</v>
      </c>
      <c r="F77" s="15">
        <f>'[1]Gas Press Fittings'!E32</f>
        <v>5.4</v>
      </c>
      <c r="G77" s="15">
        <f>E77*F77</f>
        <v>0</v>
      </c>
    </row>
    <row r="78" s="1" customFormat="1" spans="1:7">
      <c r="A78" s="13" t="s">
        <v>95</v>
      </c>
      <c r="B78" s="13" t="str">
        <f>'[1]Gas Press Fittings'!A33</f>
        <v>15mm Gas Press Stop End / Cap</v>
      </c>
      <c r="C78" s="13" t="str">
        <f>'[1]Gas Press Fittings'!B33</f>
        <v>15mm</v>
      </c>
      <c r="D78" s="13" t="str">
        <f>'[1]Gas Press Fittings'!C33</f>
        <v>Pcs</v>
      </c>
      <c r="E78" s="14">
        <f>'[1]Gas Press Fittings'!D33</f>
        <v>0</v>
      </c>
      <c r="F78" s="15">
        <f>'[1]Gas Press Fittings'!E33</f>
        <v>3.9</v>
      </c>
      <c r="G78" s="15">
        <f>E78*F78</f>
        <v>0</v>
      </c>
    </row>
    <row r="79" s="1" customFormat="1" spans="1:7">
      <c r="A79" s="13" t="s">
        <v>96</v>
      </c>
      <c r="B79" s="13" t="str">
        <f>'[1]Valves &amp; Controls'!A4</f>
        <v>15mm Compression Screwdriver Slot Isolator (Chrome)</v>
      </c>
      <c r="C79" s="13" t="str">
        <f>'[1]Valves &amp; Controls'!B4</f>
        <v>15mm</v>
      </c>
      <c r="D79" s="13" t="str">
        <f>'[1]Valves &amp; Controls'!C4</f>
        <v>Pcs</v>
      </c>
      <c r="E79" s="14">
        <v>0</v>
      </c>
      <c r="F79" s="15">
        <f>'[1]Valves &amp; Controls'!E4</f>
        <v>2.1</v>
      </c>
      <c r="G79" s="15">
        <f>E79*F79</f>
        <v>0</v>
      </c>
    </row>
    <row r="80" s="1" customFormat="1" spans="1:7">
      <c r="A80" s="13" t="s">
        <v>96</v>
      </c>
      <c r="B80" s="13" t="str">
        <f>'[1]Valves &amp; Controls'!A5</f>
        <v>15mm Compression Lever Handle Isolator (Chrome)</v>
      </c>
      <c r="C80" s="13" t="str">
        <f>'[1]Valves &amp; Controls'!B5</f>
        <v>15mm</v>
      </c>
      <c r="D80" s="13" t="str">
        <f>'[1]Valves &amp; Controls'!C5</f>
        <v>Pcs</v>
      </c>
      <c r="E80" s="14">
        <f>'[1]Valves &amp; Controls'!D5</f>
        <v>0</v>
      </c>
      <c r="F80" s="15">
        <f>'[1]Valves &amp; Controls'!E5</f>
        <v>3.2</v>
      </c>
      <c r="G80" s="15">
        <f>E80*F80</f>
        <v>0</v>
      </c>
    </row>
    <row r="81" s="1" customFormat="1" spans="1:7">
      <c r="A81" s="13" t="s">
        <v>96</v>
      </c>
      <c r="B81" s="13" t="str">
        <f>'[1]Valves &amp; Controls'!A6</f>
        <v>15mm Compression Service Valve x 1/2" Flexi Tail</v>
      </c>
      <c r="C81" s="13" t="str">
        <f>'[1]Valves &amp; Controls'!B6</f>
        <v>15x1/2"</v>
      </c>
      <c r="D81" s="13" t="str">
        <f>'[1]Valves &amp; Controls'!C6</f>
        <v>Pcs</v>
      </c>
      <c r="E81" s="14">
        <f>'[1]Valves &amp; Controls'!D6</f>
        <v>0</v>
      </c>
      <c r="F81" s="15">
        <f>'[1]Valves &amp; Controls'!E6</f>
        <v>4.1</v>
      </c>
      <c r="G81" s="15">
        <f>E81*F81</f>
        <v>0</v>
      </c>
    </row>
    <row r="82" s="1" customFormat="1" spans="1:7">
      <c r="A82" s="13" t="s">
        <v>96</v>
      </c>
      <c r="B82" s="13" t="str">
        <f>'[1]Valves &amp; Controls'!A7</f>
        <v>15mm Compression Full Bore Lever Valve (Red Handle)</v>
      </c>
      <c r="C82" s="13" t="str">
        <f>'[1]Valves &amp; Controls'!B7</f>
        <v>15mm</v>
      </c>
      <c r="D82" s="13" t="str">
        <f>'[1]Valves &amp; Controls'!C7</f>
        <v>Pcs</v>
      </c>
      <c r="E82" s="14">
        <v>2</v>
      </c>
      <c r="F82" s="15">
        <f>'[1]Valves &amp; Controls'!E7</f>
        <v>4.8</v>
      </c>
      <c r="G82" s="15">
        <f>E82*F82</f>
        <v>9.6</v>
      </c>
    </row>
    <row r="83" s="1" customFormat="1" spans="1:7">
      <c r="A83" s="13" t="s">
        <v>96</v>
      </c>
      <c r="B83" s="13" t="str">
        <f>'[1]Valves &amp; Controls'!A8</f>
        <v>15mm Compression Full Bore Lever Valve (Blue Handle)</v>
      </c>
      <c r="C83" s="13" t="str">
        <f>'[1]Valves &amp; Controls'!B8</f>
        <v>15mm</v>
      </c>
      <c r="D83" s="13" t="str">
        <f>'[1]Valves &amp; Controls'!C8</f>
        <v>Pcs</v>
      </c>
      <c r="E83" s="14">
        <f>'[1]Valves &amp; Controls'!D8</f>
        <v>0</v>
      </c>
      <c r="F83" s="15">
        <f>'[1]Valves &amp; Controls'!E8</f>
        <v>4.8</v>
      </c>
      <c r="G83" s="15">
        <f>E83*F83</f>
        <v>0</v>
      </c>
    </row>
    <row r="84" s="1" customFormat="1" spans="1:7">
      <c r="A84" s="13" t="s">
        <v>96</v>
      </c>
      <c r="B84" s="13" t="str">
        <f>'[1]Valves &amp; Controls'!A9</f>
        <v>22mm Compression Full Bore Lever Valve (Red Handle)</v>
      </c>
      <c r="C84" s="13" t="str">
        <f>'[1]Valves &amp; Controls'!B9</f>
        <v>22mm</v>
      </c>
      <c r="D84" s="13" t="str">
        <f>'[1]Valves &amp; Controls'!C9</f>
        <v>Pcs</v>
      </c>
      <c r="E84" s="14">
        <v>4</v>
      </c>
      <c r="F84" s="15">
        <f>'[1]Valves &amp; Controls'!E9</f>
        <v>7.5</v>
      </c>
      <c r="G84" s="15">
        <f>E84*F84</f>
        <v>30</v>
      </c>
    </row>
    <row r="85" s="1" customFormat="1" spans="1:7">
      <c r="A85" s="13" t="s">
        <v>96</v>
      </c>
      <c r="B85" s="13" t="str">
        <f>'[1]Valves &amp; Controls'!A10</f>
        <v>22mm Compression Full Bore Lever Valve (Blue Handle)</v>
      </c>
      <c r="C85" s="13" t="str">
        <f>'[1]Valves &amp; Controls'!B10</f>
        <v>22mm</v>
      </c>
      <c r="D85" s="13" t="str">
        <f>'[1]Valves &amp; Controls'!C10</f>
        <v>Pcs</v>
      </c>
      <c r="E85" s="14">
        <f>'[1]Valves &amp; Controls'!D10</f>
        <v>0</v>
      </c>
      <c r="F85" s="15">
        <f>'[1]Valves &amp; Controls'!E10</f>
        <v>7.5</v>
      </c>
      <c r="G85" s="15">
        <f>E85*F85</f>
        <v>0</v>
      </c>
    </row>
    <row r="86" s="1" customFormat="1" spans="1:7">
      <c r="A86" s="13" t="s">
        <v>96</v>
      </c>
      <c r="B86" s="13" t="str">
        <f>'[1]Valves &amp; Controls'!A11</f>
        <v>28mm Compression Full Bore Lever Valve (Red Handle)</v>
      </c>
      <c r="C86" s="13" t="str">
        <f>'[1]Valves &amp; Controls'!B11</f>
        <v>28mm</v>
      </c>
      <c r="D86" s="13" t="str">
        <f>'[1]Valves &amp; Controls'!C11</f>
        <v>Pcs</v>
      </c>
      <c r="E86" s="14">
        <f>'[1]Valves &amp; Controls'!D11</f>
        <v>0</v>
      </c>
      <c r="F86" s="15">
        <f>'[1]Valves &amp; Controls'!E11</f>
        <v>14.8</v>
      </c>
      <c r="G86" s="15">
        <f>E86*F86</f>
        <v>0</v>
      </c>
    </row>
    <row r="87" s="1" customFormat="1" spans="1:7">
      <c r="A87" s="13" t="s">
        <v>96</v>
      </c>
      <c r="B87" s="13" t="str">
        <f>'[1]Valves &amp; Controls'!A12</f>
        <v>28mm Compression Full Bore Lever Valve (Blue Handle)</v>
      </c>
      <c r="C87" s="13" t="str">
        <f>'[1]Valves &amp; Controls'!B12</f>
        <v>28mm</v>
      </c>
      <c r="D87" s="13" t="str">
        <f>'[1]Valves &amp; Controls'!C12</f>
        <v>Pcs</v>
      </c>
      <c r="E87" s="14">
        <v>6</v>
      </c>
      <c r="F87" s="15">
        <f>'[1]Valves &amp; Controls'!E12</f>
        <v>14.8</v>
      </c>
      <c r="G87" s="15">
        <f>E87*F87</f>
        <v>88.8</v>
      </c>
    </row>
    <row r="88" s="1" customFormat="1" spans="1:7">
      <c r="A88" s="13" t="s">
        <v>96</v>
      </c>
      <c r="B88" s="13" t="str">
        <f>'[1]Valves &amp; Controls'!A13</f>
        <v>35mm Compression Full Bore Lever Valve</v>
      </c>
      <c r="C88" s="13" t="str">
        <f>'[1]Valves &amp; Controls'!B13</f>
        <v>35mm</v>
      </c>
      <c r="D88" s="13" t="str">
        <f>'[1]Valves &amp; Controls'!C13</f>
        <v>Pcs</v>
      </c>
      <c r="E88" s="14">
        <f>'[1]Valves &amp; Controls'!D13</f>
        <v>0</v>
      </c>
      <c r="F88" s="15">
        <f>'[1]Valves &amp; Controls'!E13</f>
        <v>28.5</v>
      </c>
      <c r="G88" s="15">
        <f>E88*F88</f>
        <v>0</v>
      </c>
    </row>
    <row r="89" s="1" customFormat="1" spans="1:7">
      <c r="A89" s="13" t="s">
        <v>96</v>
      </c>
      <c r="B89" s="13" t="str">
        <f>'[1]Valves &amp; Controls'!A14</f>
        <v>15mm Gas Compression Lever Valve (Yellow Handle)</v>
      </c>
      <c r="C89" s="13" t="str">
        <f>'[1]Valves &amp; Controls'!B14</f>
        <v>15mm</v>
      </c>
      <c r="D89" s="13" t="str">
        <f>'[1]Valves &amp; Controls'!C14</f>
        <v>Pcs</v>
      </c>
      <c r="E89" s="14">
        <v>1</v>
      </c>
      <c r="F89" s="15">
        <f>'[1]Valves &amp; Controls'!E14</f>
        <v>6.2</v>
      </c>
      <c r="G89" s="15">
        <f>E89*F89</f>
        <v>6.2</v>
      </c>
    </row>
    <row r="90" s="1" customFormat="1" spans="1:7">
      <c r="A90" s="13" t="s">
        <v>96</v>
      </c>
      <c r="B90" s="13" t="str">
        <f>'[1]Valves &amp; Controls'!A15</f>
        <v>22mm Gas Compression Lever Valve (Yellow Handle)</v>
      </c>
      <c r="C90" s="13" t="str">
        <f>'[1]Valves &amp; Controls'!B15</f>
        <v>22mm</v>
      </c>
      <c r="D90" s="13" t="str">
        <f>'[1]Valves &amp; Controls'!C15</f>
        <v>Pcs</v>
      </c>
      <c r="E90" s="14">
        <f>'[1]Valves &amp; Controls'!D15</f>
        <v>0</v>
      </c>
      <c r="F90" s="15">
        <f>'[1]Valves &amp; Controls'!E15</f>
        <v>9.8</v>
      </c>
      <c r="G90" s="15">
        <f>E90*F90</f>
        <v>0</v>
      </c>
    </row>
    <row r="91" s="1" customFormat="1" spans="1:7">
      <c r="A91" s="13" t="s">
        <v>96</v>
      </c>
      <c r="B91" s="13" t="str">
        <f>'[1]Valves &amp; Controls'!A16</f>
        <v>28mm Gas Compression Lever Valve (Yellow Handle)</v>
      </c>
      <c r="C91" s="13" t="str">
        <f>'[1]Valves &amp; Controls'!B16</f>
        <v>28mm</v>
      </c>
      <c r="D91" s="13" t="str">
        <f>'[1]Valves &amp; Controls'!C16</f>
        <v>Pcs</v>
      </c>
      <c r="E91" s="14">
        <f>'[1]Valves &amp; Controls'!D16</f>
        <v>0</v>
      </c>
      <c r="F91" s="15">
        <f>'[1]Valves &amp; Controls'!E16</f>
        <v>18.5</v>
      </c>
      <c r="G91" s="15">
        <f>E91*F91</f>
        <v>0</v>
      </c>
    </row>
    <row r="92" s="1" customFormat="1" spans="1:7">
      <c r="A92" s="13" t="s">
        <v>96</v>
      </c>
      <c r="B92" s="13" t="str">
        <f>'[1]Valves &amp; Controls'!A17</f>
        <v>22mm Gas Press Full Bore Lever Ball Valve</v>
      </c>
      <c r="C92" s="13" t="str">
        <f>'[1]Valves &amp; Controls'!B17</f>
        <v>22mm</v>
      </c>
      <c r="D92" s="13" t="str">
        <f>'[1]Valves &amp; Controls'!C17</f>
        <v>Pcs</v>
      </c>
      <c r="E92" s="14">
        <f>'[1]Valves &amp; Controls'!D17</f>
        <v>0</v>
      </c>
      <c r="F92" s="15">
        <f>'[1]Valves &amp; Controls'!E17</f>
        <v>16.5</v>
      </c>
      <c r="G92" s="15">
        <f>E92*F92</f>
        <v>0</v>
      </c>
    </row>
    <row r="93" s="1" customFormat="1" spans="1:7">
      <c r="A93" s="13" t="s">
        <v>96</v>
      </c>
      <c r="B93" s="13" t="str">
        <f>'[1]Valves &amp; Controls'!A18</f>
        <v>28mm Gas Press Full Bore Lever Ball Valve</v>
      </c>
      <c r="C93" s="13" t="str">
        <f>'[1]Valves &amp; Controls'!B18</f>
        <v>28mm</v>
      </c>
      <c r="D93" s="13" t="str">
        <f>'[1]Valves &amp; Controls'!C18</f>
        <v>Pcs</v>
      </c>
      <c r="E93" s="14">
        <f>'[1]Valves &amp; Controls'!D18</f>
        <v>0</v>
      </c>
      <c r="F93" s="15">
        <f>'[1]Valves &amp; Controls'!E18</f>
        <v>26</v>
      </c>
      <c r="G93" s="15">
        <f>E93*F93</f>
        <v>0</v>
      </c>
    </row>
    <row r="94" s="1" customFormat="1" spans="1:7">
      <c r="A94" s="13" t="s">
        <v>96</v>
      </c>
      <c r="B94" s="13" t="str">
        <f>'[1]Valves &amp; Controls'!A19</f>
        <v>15mm Compression Single Check Valve</v>
      </c>
      <c r="C94" s="13" t="str">
        <f>'[1]Valves &amp; Controls'!B19</f>
        <v>15mm</v>
      </c>
      <c r="D94" s="13" t="str">
        <f>'[1]Valves &amp; Controls'!C19</f>
        <v>Pcs</v>
      </c>
      <c r="E94" s="14">
        <f>'[1]Valves &amp; Controls'!D19</f>
        <v>0</v>
      </c>
      <c r="F94" s="15">
        <f>'[1]Valves &amp; Controls'!E19</f>
        <v>4.5</v>
      </c>
      <c r="G94" s="15">
        <f>E94*F94</f>
        <v>0</v>
      </c>
    </row>
    <row r="95" s="1" customFormat="1" spans="1:7">
      <c r="A95" s="13" t="s">
        <v>96</v>
      </c>
      <c r="B95" s="13" t="str">
        <f>'[1]Valves &amp; Controls'!A20</f>
        <v>22mm Compression Single Check Valve</v>
      </c>
      <c r="C95" s="13" t="str">
        <f>'[1]Valves &amp; Controls'!B20</f>
        <v>22mm</v>
      </c>
      <c r="D95" s="13" t="str">
        <f>'[1]Valves &amp; Controls'!C20</f>
        <v>Pcs</v>
      </c>
      <c r="E95" s="14">
        <f>'[1]Valves &amp; Controls'!D20</f>
        <v>0</v>
      </c>
      <c r="F95" s="15">
        <f>'[1]Valves &amp; Controls'!E20</f>
        <v>8.2</v>
      </c>
      <c r="G95" s="15">
        <f>E95*F95</f>
        <v>0</v>
      </c>
    </row>
    <row r="96" s="1" customFormat="1" spans="1:7">
      <c r="A96" s="13" t="s">
        <v>96</v>
      </c>
      <c r="B96" s="13" t="str">
        <f>'[1]Valves &amp; Controls'!A21</f>
        <v>22mm Compression Double Check Valve</v>
      </c>
      <c r="C96" s="13" t="str">
        <f>'[1]Valves &amp; Controls'!B21</f>
        <v>22mm</v>
      </c>
      <c r="D96" s="13" t="str">
        <f>'[1]Valves &amp; Controls'!C21</f>
        <v>Pcs</v>
      </c>
      <c r="E96" s="14">
        <f>'[1]Valves &amp; Controls'!D21</f>
        <v>0</v>
      </c>
      <c r="F96" s="15">
        <f>'[1]Valves &amp; Controls'!E21</f>
        <v>12.9</v>
      </c>
      <c r="G96" s="15">
        <f>E96*F96</f>
        <v>0</v>
      </c>
    </row>
    <row r="97" s="1" customFormat="1" ht="15" customHeight="1" spans="1:7">
      <c r="A97" s="13" t="s">
        <v>97</v>
      </c>
      <c r="B97" s="13" t="str">
        <f>'[1]Heating Controls &amp; TRVs'!A12</f>
        <v>28mm 2-Port Motorised Zone Valve (S-Plan)</v>
      </c>
      <c r="C97" s="13" t="str">
        <f>'[1]Heating Controls &amp; TRVs'!B12</f>
        <v>28mm 2-Port</v>
      </c>
      <c r="D97" s="13" t="str">
        <f>'[1]Heating Controls &amp; TRVs'!C12</f>
        <v>Pcs</v>
      </c>
      <c r="E97" s="14">
        <v>2</v>
      </c>
      <c r="F97" s="15">
        <f>'[1]Heating Controls &amp; TRVs'!E12</f>
        <v>54</v>
      </c>
      <c r="G97" s="15">
        <f>E97*F97</f>
        <v>108</v>
      </c>
    </row>
    <row r="98" s="1" customFormat="1" spans="1:7">
      <c r="A98" s="13" t="s">
        <v>97</v>
      </c>
      <c r="B98" s="13" t="str">
        <f>'[1]Heating Controls &amp; TRVs'!A21</f>
        <v>Magnetic System Filter 28mm</v>
      </c>
      <c r="C98" s="13" t="str">
        <f>'[1]Heating Controls &amp; TRVs'!B21</f>
        <v>28mm Magnetic</v>
      </c>
      <c r="D98" s="13" t="str">
        <f>'[1]Heating Controls &amp; TRVs'!C21</f>
        <v>Pcs</v>
      </c>
      <c r="E98" s="14">
        <v>1</v>
      </c>
      <c r="F98" s="15">
        <f>'[1]Heating Controls &amp; TRVs'!E21</f>
        <v>115</v>
      </c>
      <c r="G98" s="15">
        <f>E98*F98</f>
        <v>115</v>
      </c>
    </row>
    <row r="99" s="1" customFormat="1" spans="1:7">
      <c r="A99" s="13" t="s">
        <v>97</v>
      </c>
      <c r="B99" s="13" t="str">
        <f>'[1]Heating Controls &amp; TRVs'!A22</f>
        <v>Central Heating Circulation Pump (ErP High Efficiency 15-60)</v>
      </c>
      <c r="C99" s="13" t="str">
        <f>'[1]Heating Controls &amp; TRVs'!B22</f>
        <v>130mm Port</v>
      </c>
      <c r="D99" s="13" t="str">
        <f>'[1]Heating Controls &amp; TRVs'!C22</f>
        <v>Pcs</v>
      </c>
      <c r="E99" s="14">
        <v>1</v>
      </c>
      <c r="F99" s="15">
        <v>400</v>
      </c>
      <c r="G99" s="15">
        <f>E99*F99</f>
        <v>400</v>
      </c>
    </row>
    <row r="100" s="1" customFormat="1" spans="1:7">
      <c r="A100" s="13" t="s">
        <v>97</v>
      </c>
      <c r="B100" s="13" t="str">
        <f>'[1]Heating Controls &amp; TRVs'!A23</f>
        <v>Automatic Bypass Valve 22mm Straight / Angled</v>
      </c>
      <c r="C100" s="13" t="str">
        <f>'[1]Heating Controls &amp; TRVs'!B23</f>
        <v>22mm ABV</v>
      </c>
      <c r="D100" s="13" t="str">
        <f>'[1]Heating Controls &amp; TRVs'!C23</f>
        <v>Pcs</v>
      </c>
      <c r="E100" s="14">
        <v>1</v>
      </c>
      <c r="F100" s="15">
        <f>'[1]Heating Controls &amp; TRVs'!E23</f>
        <v>24.5</v>
      </c>
      <c r="G100" s="15">
        <f>E100*F100</f>
        <v>24.5</v>
      </c>
    </row>
    <row r="101" s="1" customFormat="1" spans="1:7">
      <c r="A101" s="13" t="s">
        <v>97</v>
      </c>
      <c r="B101" s="13" t="str">
        <f>'[1]Heating Controls &amp; TRVs'!A25</f>
        <v>Heating Expansion Vessel 24 Litre (Central Heating Red)</v>
      </c>
      <c r="C101" s="13" t="str">
        <f>'[1]Heating Controls &amp; TRVs'!B25</f>
        <v>24L Red</v>
      </c>
      <c r="D101" s="13" t="str">
        <f>'[1]Heating Controls &amp; TRVs'!C25</f>
        <v>Pcs</v>
      </c>
      <c r="E101" s="14">
        <v>1</v>
      </c>
      <c r="F101" s="15">
        <f>'[1]Heating Controls &amp; TRVs'!E25</f>
        <v>44</v>
      </c>
      <c r="G101" s="15">
        <f>E101*F101</f>
        <v>44</v>
      </c>
    </row>
    <row r="102" s="1" customFormat="1" spans="1:7">
      <c r="A102" s="13" t="s">
        <v>97</v>
      </c>
      <c r="B102" s="13" t="str">
        <f>'[1]Heating Controls &amp; TRVs'!A26</f>
        <v>Filling Loop Assembly with Double Check Valve &amp; Gauge</v>
      </c>
      <c r="C102" s="13" t="str">
        <f>'[1]Heating Controls &amp; TRVs'!B26</f>
        <v>15mm Flexi</v>
      </c>
      <c r="D102" s="13" t="str">
        <f>'[1]Heating Controls &amp; TRVs'!C26</f>
        <v>Pcs</v>
      </c>
      <c r="E102" s="14">
        <v>1</v>
      </c>
      <c r="F102" s="15">
        <f>'[1]Heating Controls &amp; TRVs'!E26</f>
        <v>16.5</v>
      </c>
      <c r="G102" s="15">
        <f>E102*F102</f>
        <v>16.5</v>
      </c>
    </row>
    <row r="103" s="1" customFormat="1" spans="1:7">
      <c r="A103" s="13" t="s">
        <v>97</v>
      </c>
      <c r="B103" s="13" t="str">
        <f>'[1]Heating Controls &amp; TRVs'!A27</f>
        <v>Central Heating Inhibitor Fluid (500ml / 1 Litre Concentrate)</v>
      </c>
      <c r="C103" s="13" t="str">
        <f>'[1]Heating Controls &amp; TRVs'!B27</f>
        <v>System Chemical</v>
      </c>
      <c r="D103" s="13" t="str">
        <f>'[1]Heating Controls &amp; TRVs'!C27</f>
        <v>Btl</v>
      </c>
      <c r="E103" s="14">
        <v>3</v>
      </c>
      <c r="F103" s="15">
        <f>'[1]Heating Controls &amp; TRVs'!E27</f>
        <v>14</v>
      </c>
      <c r="G103" s="15">
        <f>E103*F103</f>
        <v>42</v>
      </c>
    </row>
    <row r="104" s="1" customFormat="1" spans="1:7">
      <c r="A104" s="13" t="s">
        <v>97</v>
      </c>
      <c r="B104" s="13" t="str">
        <f>'[1]Heating Controls &amp; TRVs'!A28</f>
        <v>Central Heating Cleaner / Restorer Fluid (500ml)</v>
      </c>
      <c r="C104" s="13" t="str">
        <f>'[1]Heating Controls &amp; TRVs'!B28</f>
        <v>System Chemical</v>
      </c>
      <c r="D104" s="13" t="str">
        <f>'[1]Heating Controls &amp; TRVs'!C28</f>
        <v>Btl</v>
      </c>
      <c r="E104" s="14">
        <v>2</v>
      </c>
      <c r="F104" s="15">
        <f>'[1]Heating Controls &amp; TRVs'!E28</f>
        <v>14</v>
      </c>
      <c r="G104" s="15">
        <f>E104*F104</f>
        <v>28</v>
      </c>
    </row>
    <row r="105" s="1" customFormat="1" spans="1:7">
      <c r="A105" s="13" t="s">
        <v>98</v>
      </c>
      <c r="B105" s="13" t="str">
        <f>'[1]Clips &amp; Fixings'!A4</f>
        <v>35mm Rubber Lined M8/M10 Pipe Clip</v>
      </c>
      <c r="C105" s="13" t="str">
        <f>'[1]Clips &amp; Fixings'!B4</f>
        <v>35mm</v>
      </c>
      <c r="D105" s="13" t="str">
        <f>'[1]Clips &amp; Fixings'!C4</f>
        <v>Pcs</v>
      </c>
      <c r="E105" s="13">
        <v>10</v>
      </c>
      <c r="F105" s="15">
        <f>'[1]Clips &amp; Fixings'!E4</f>
        <v>1.45</v>
      </c>
      <c r="G105" s="15">
        <f>E105*F105</f>
        <v>14.5</v>
      </c>
    </row>
    <row r="106" s="1" customFormat="1" spans="1:7">
      <c r="A106" s="13" t="s">
        <v>98</v>
      </c>
      <c r="B106" s="13" t="str">
        <f>'[1]Clips &amp; Fixings'!A5</f>
        <v>28mm Rubber Lined M8/M10 Pipe Clip</v>
      </c>
      <c r="C106" s="13" t="str">
        <f>'[1]Clips &amp; Fixings'!B5</f>
        <v>28mm</v>
      </c>
      <c r="D106" s="13" t="str">
        <f>'[1]Clips &amp; Fixings'!C5</f>
        <v>Pcs</v>
      </c>
      <c r="E106" s="13">
        <v>30</v>
      </c>
      <c r="F106" s="15">
        <f>'[1]Clips &amp; Fixings'!E5</f>
        <v>1.25</v>
      </c>
      <c r="G106" s="15">
        <f>E106*F106</f>
        <v>37.5</v>
      </c>
    </row>
    <row r="107" s="1" customFormat="1" spans="1:7">
      <c r="A107" s="13" t="s">
        <v>98</v>
      </c>
      <c r="B107" s="13" t="str">
        <f>'[1]Clips &amp; Fixings'!A6</f>
        <v>22mm Rubber Lined M8/M10 Pipe Clip</v>
      </c>
      <c r="C107" s="13" t="str">
        <f>'[1]Clips &amp; Fixings'!B6</f>
        <v>22mm</v>
      </c>
      <c r="D107" s="13" t="str">
        <f>'[1]Clips &amp; Fixings'!C6</f>
        <v>Pcs</v>
      </c>
      <c r="E107" s="13">
        <v>14</v>
      </c>
      <c r="F107" s="15">
        <f>'[1]Clips &amp; Fixings'!E6</f>
        <v>1.05</v>
      </c>
      <c r="G107" s="15">
        <f>E107*F107</f>
        <v>14.7</v>
      </c>
    </row>
    <row r="108" s="1" customFormat="1" spans="1:7">
      <c r="A108" s="13" t="s">
        <v>98</v>
      </c>
      <c r="B108" s="13" t="str">
        <f>'[1]Clips &amp; Fixings'!A7</f>
        <v>15mm Rubber Lined M8/M10 Pipe Clip</v>
      </c>
      <c r="C108" s="13" t="str">
        <f>'[1]Clips &amp; Fixings'!B7</f>
        <v>15mm</v>
      </c>
      <c r="D108" s="13" t="str">
        <f>'[1]Clips &amp; Fixings'!C7</f>
        <v>Pcs</v>
      </c>
      <c r="E108" s="13">
        <v>14</v>
      </c>
      <c r="F108" s="15">
        <f>'[1]Clips &amp; Fixings'!E7</f>
        <v>0.95</v>
      </c>
      <c r="G108" s="15">
        <f>E108*F108</f>
        <v>13.3</v>
      </c>
    </row>
    <row r="109" s="1" customFormat="1" spans="1:7">
      <c r="A109" s="13" t="s">
        <v>98</v>
      </c>
      <c r="B109" s="13" t="str">
        <f>'[1]Clips &amp; Fixings'!A18</f>
        <v>41x41 Slotted Unistrut Channel (3m)</v>
      </c>
      <c r="C109" s="13" t="str">
        <f>'[1]Clips &amp; Fixings'!B18</f>
        <v>41x41x3m</v>
      </c>
      <c r="D109" s="13" t="str">
        <f>'[1]Clips &amp; Fixings'!C18</f>
        <v>Length</v>
      </c>
      <c r="E109" s="13">
        <v>3</v>
      </c>
      <c r="F109" s="15">
        <f>'[1]Clips &amp; Fixings'!E18</f>
        <v>18.5</v>
      </c>
      <c r="G109" s="15">
        <f>E109*F109</f>
        <v>55.5</v>
      </c>
    </row>
    <row r="110" s="1" customFormat="1" spans="1:7">
      <c r="A110" s="13" t="s">
        <v>98</v>
      </c>
      <c r="B110" s="13" t="str">
        <f>'[1]Clips &amp; Fixings'!A20</f>
        <v>M10 Channel Nut with Long Spring (Zebedee)</v>
      </c>
      <c r="C110" s="13" t="str">
        <f>'[1]Clips &amp; Fixings'!B20</f>
        <v>M10</v>
      </c>
      <c r="D110" s="13" t="str">
        <f>'[1]Clips &amp; Fixings'!C20</f>
        <v>Pcs</v>
      </c>
      <c r="E110" s="13">
        <v>60</v>
      </c>
      <c r="F110" s="15">
        <f>'[1]Clips &amp; Fixings'!E20</f>
        <v>0.45</v>
      </c>
      <c r="G110" s="15">
        <f>E110*F110</f>
        <v>27</v>
      </c>
    </row>
    <row r="111" s="1" customFormat="1" spans="1:7">
      <c r="A111" s="13" t="s">
        <v>98</v>
      </c>
      <c r="B111" s="13" t="str">
        <f>'[1]Clips &amp; Fixings'!A22</f>
        <v>M10 Channel Nut Short / No Spring</v>
      </c>
      <c r="C111" s="13" t="str">
        <f>'[1]Clips &amp; Fixings'!B22</f>
        <v>M10</v>
      </c>
      <c r="D111" s="13" t="str">
        <f>'[1]Clips &amp; Fixings'!C22</f>
        <v>Pcs</v>
      </c>
      <c r="E111" s="13">
        <f>'[1]Clips &amp; Fixings'!D22</f>
        <v>0</v>
      </c>
      <c r="F111" s="15">
        <f>'[1]Clips &amp; Fixings'!E22</f>
        <v>0.35</v>
      </c>
      <c r="G111" s="15">
        <f>E111*F111</f>
        <v>0</v>
      </c>
    </row>
    <row r="112" s="1" customFormat="1" spans="1:7">
      <c r="A112" s="13" t="s">
        <v>98</v>
      </c>
      <c r="B112" s="13" t="str">
        <f>'[1]Clips &amp; Fixings'!A23</f>
        <v>Unistrut Plastic Channel End Caps (Pair)</v>
      </c>
      <c r="C112" s="13" t="str">
        <f>'[1]Clips &amp; Fixings'!B23</f>
        <v>41x41</v>
      </c>
      <c r="D112" s="13" t="str">
        <f>'[1]Clips &amp; Fixings'!C23</f>
        <v>Pair</v>
      </c>
      <c r="E112" s="13">
        <v>20</v>
      </c>
      <c r="F112" s="15">
        <f>'[1]Clips &amp; Fixings'!E23</f>
        <v>0.85</v>
      </c>
      <c r="G112" s="15">
        <f>E112*F112</f>
        <v>17</v>
      </c>
    </row>
    <row r="113" s="1" customFormat="1" spans="1:7">
      <c r="A113" s="13" t="s">
        <v>98</v>
      </c>
      <c r="B113" s="13" t="str">
        <f>'[1]Clips &amp; Fixings'!A24</f>
        <v>M10 Fully Threaded Rod (3m Length)</v>
      </c>
      <c r="C113" s="13" t="str">
        <f>'[1]Clips &amp; Fixings'!B24</f>
        <v>M10 x 3m</v>
      </c>
      <c r="D113" s="13" t="str">
        <f>'[1]Clips &amp; Fixings'!C24</f>
        <v>Length</v>
      </c>
      <c r="E113" s="13">
        <v>3</v>
      </c>
      <c r="F113" s="15">
        <f>'[1]Clips &amp; Fixings'!E24</f>
        <v>4.8</v>
      </c>
      <c r="G113" s="15">
        <f>E113*F113</f>
        <v>14.4</v>
      </c>
    </row>
    <row r="114" s="1" customFormat="1" spans="1:7">
      <c r="A114" s="13" t="s">
        <v>98</v>
      </c>
      <c r="B114" s="13" t="str">
        <f>'[1]Clips &amp; Fixings'!A26</f>
        <v>M10 Hexagon Full Nuts (Box of 100)</v>
      </c>
      <c r="C114" s="13" t="str">
        <f>'[1]Clips &amp; Fixings'!B26</f>
        <v>M10</v>
      </c>
      <c r="D114" s="13" t="str">
        <f>'[1]Clips &amp; Fixings'!C26</f>
        <v>Box</v>
      </c>
      <c r="E114" s="13">
        <v>1</v>
      </c>
      <c r="F114" s="15">
        <f>'[1]Clips &amp; Fixings'!E26</f>
        <v>5.5</v>
      </c>
      <c r="G114" s="15">
        <f>E114*F114</f>
        <v>5.5</v>
      </c>
    </row>
    <row r="115" s="1" customFormat="1" spans="1:7">
      <c r="A115" s="13" t="s">
        <v>98</v>
      </c>
      <c r="B115" s="13" t="str">
        <f>'[1]Clips &amp; Fixings'!A28</f>
        <v>M10 Form A Flat Washers (Box of 100)</v>
      </c>
      <c r="C115" s="13" t="str">
        <f>'[1]Clips &amp; Fixings'!B28</f>
        <v>M10</v>
      </c>
      <c r="D115" s="13" t="str">
        <f>'[1]Clips &amp; Fixings'!C28</f>
        <v>Box</v>
      </c>
      <c r="E115" s="13">
        <v>1</v>
      </c>
      <c r="F115" s="15">
        <f>'[1]Clips &amp; Fixings'!E28</f>
        <v>3.8</v>
      </c>
      <c r="G115" s="15">
        <f>E115*F115</f>
        <v>3.8</v>
      </c>
    </row>
    <row r="116" s="1" customFormat="1" spans="1:7">
      <c r="A116" s="13" t="s">
        <v>98</v>
      </c>
      <c r="B116" s="13" t="str">
        <f>'[1]Clips &amp; Fixings'!A30</f>
        <v>M10 Penny / Repair Washers (Box of 100)</v>
      </c>
      <c r="C116" s="13" t="str">
        <f>'[1]Clips &amp; Fixings'!B30</f>
        <v>M10 x 30mm</v>
      </c>
      <c r="D116" s="13" t="str">
        <f>'[1]Clips &amp; Fixings'!C30</f>
        <v>Box</v>
      </c>
      <c r="E116" s="13">
        <v>1</v>
      </c>
      <c r="F116" s="15">
        <f>'[1]Clips &amp; Fixings'!E30</f>
        <v>6.2</v>
      </c>
      <c r="G116" s="15">
        <f>E116*F116</f>
        <v>6.2</v>
      </c>
    </row>
    <row r="117" s="1" customFormat="1" spans="1:7">
      <c r="A117" s="13" t="s">
        <v>98</v>
      </c>
      <c r="B117" s="13" t="str">
        <f>'[1]Clips &amp; Fixings'!A34</f>
        <v>Brown Wall Plugs / Rawlplugs (Box of 100)</v>
      </c>
      <c r="C117" s="13" t="str">
        <f>'[1]Clips &amp; Fixings'!B34</f>
        <v>7mm / Brown</v>
      </c>
      <c r="D117" s="13" t="str">
        <f>'[1]Clips &amp; Fixings'!C34</f>
        <v>Box</v>
      </c>
      <c r="E117" s="13">
        <v>1</v>
      </c>
      <c r="F117" s="15">
        <f>'[1]Clips &amp; Fixings'!E34</f>
        <v>2.8</v>
      </c>
      <c r="G117" s="15">
        <f>E117*F117</f>
        <v>2.8</v>
      </c>
    </row>
    <row r="118" s="1" customFormat="1" spans="1:7">
      <c r="A118" s="13" t="s">
        <v>98</v>
      </c>
      <c r="B118" s="13" t="str">
        <f>'[1]Clips &amp; Fixings'!A35</f>
        <v>Countersunk Wood Screws 5.0 x 50mm (Box of 200)</v>
      </c>
      <c r="C118" s="13" t="str">
        <f>'[1]Clips &amp; Fixings'!B35</f>
        <v>5.0x50mm</v>
      </c>
      <c r="D118" s="13" t="str">
        <f>'[1]Clips &amp; Fixings'!C35</f>
        <v>Box</v>
      </c>
      <c r="E118" s="13">
        <v>1</v>
      </c>
      <c r="F118" s="15">
        <f>'[1]Clips &amp; Fixings'!E35</f>
        <v>6.5</v>
      </c>
      <c r="G118" s="15">
        <f>E118*F118</f>
        <v>6.5</v>
      </c>
    </row>
    <row r="119" s="1" customFormat="1" spans="1:7">
      <c r="A119" s="13" t="s">
        <v>98</v>
      </c>
      <c r="B119" s="13" t="str">
        <f>'[1]Clips &amp; Fixings'!A36</f>
        <v>Countersunk Wood Screws 4.0 x 40mm (Box of 200)</v>
      </c>
      <c r="C119" s="13" t="str">
        <f>'[1]Clips &amp; Fixings'!B36</f>
        <v>4.0x40mm</v>
      </c>
      <c r="D119" s="13" t="str">
        <f>'[1]Clips &amp; Fixings'!C36</f>
        <v>Box</v>
      </c>
      <c r="E119" s="13">
        <f>'[1]Clips &amp; Fixings'!D36</f>
        <v>0</v>
      </c>
      <c r="F119" s="15">
        <f>'[1]Clips &amp; Fixings'!E36</f>
        <v>4.8</v>
      </c>
      <c r="G119" s="15">
        <f>E119*F119</f>
        <v>0</v>
      </c>
    </row>
    <row r="120" s="1" customFormat="1" spans="1:7">
      <c r="A120" s="13" t="s">
        <v>98</v>
      </c>
      <c r="B120" s="13" t="str">
        <f>'[1]Clips &amp; Fixings'!A37</f>
        <v>M10 x 50mm Concrete Shield Anchors / Rawlbolts</v>
      </c>
      <c r="C120" s="13" t="str">
        <f>'[1]Clips &amp; Fixings'!B37</f>
        <v>M10 x 50mm</v>
      </c>
      <c r="D120" s="13" t="str">
        <f>'[1]Clips &amp; Fixings'!C37</f>
        <v>Pcs</v>
      </c>
      <c r="E120" s="13">
        <v>20</v>
      </c>
      <c r="F120" s="15">
        <f>'[1]Clips &amp; Fixings'!E37</f>
        <v>1.25</v>
      </c>
      <c r="G120" s="15">
        <f>E120*F120</f>
        <v>25</v>
      </c>
    </row>
    <row r="121" s="1" customFormat="1" spans="1:7">
      <c r="A121" s="13" t="s">
        <v>99</v>
      </c>
      <c r="B121" s="13" t="str">
        <f>'[1]Pipe Insulation'!A8</f>
        <v>15mm x 19mm Wall Pipe Insulation (2m Length)</v>
      </c>
      <c r="C121" s="13" t="str">
        <f>'[1]Pipe Insulation'!B8</f>
        <v>15x19mm</v>
      </c>
      <c r="D121" s="13" t="str">
        <f>'[1]Pipe Insulation'!C8</f>
        <v>Length</v>
      </c>
      <c r="E121" s="13">
        <v>10</v>
      </c>
      <c r="F121" s="15">
        <f>'[1]Pipe Insulation'!E8</f>
        <v>2.6</v>
      </c>
      <c r="G121" s="15">
        <f>E121*F121</f>
        <v>26</v>
      </c>
    </row>
    <row r="122" s="1" customFormat="1" spans="1:7">
      <c r="A122" s="13" t="s">
        <v>99</v>
      </c>
      <c r="B122" s="13" t="str">
        <f>'[1]Pipe Insulation'!A9</f>
        <v>22mm x 19mm Wall Pipe Insulation (2m Length)</v>
      </c>
      <c r="C122" s="13" t="str">
        <f>'[1]Pipe Insulation'!B9</f>
        <v>22x19mm</v>
      </c>
      <c r="D122" s="13" t="str">
        <f>'[1]Pipe Insulation'!C9</f>
        <v>Length</v>
      </c>
      <c r="E122" s="13">
        <v>20</v>
      </c>
      <c r="F122" s="15">
        <f>'[1]Pipe Insulation'!E9</f>
        <v>3.2</v>
      </c>
      <c r="G122" s="15">
        <f>E122*F122</f>
        <v>64</v>
      </c>
    </row>
    <row r="123" s="1" customFormat="1" spans="1:7">
      <c r="A123" s="13" t="s">
        <v>99</v>
      </c>
      <c r="B123" s="13" t="str">
        <f>'[1]Pipe Insulation'!A10</f>
        <v>28mm x 19mm Wall Pipe Insulation (2m Length)</v>
      </c>
      <c r="C123" s="13" t="str">
        <f>'[1]Pipe Insulation'!B10</f>
        <v>28x19mm</v>
      </c>
      <c r="D123" s="13" t="str">
        <f>'[1]Pipe Insulation'!C10</f>
        <v>Length</v>
      </c>
      <c r="E123" s="13">
        <v>20</v>
      </c>
      <c r="F123" s="15">
        <f>'[1]Pipe Insulation'!E10</f>
        <v>3.9</v>
      </c>
      <c r="G123" s="15">
        <f>E123*F123</f>
        <v>78</v>
      </c>
    </row>
    <row r="124" s="1" customFormat="1" spans="1:7">
      <c r="A124" s="13" t="s">
        <v>99</v>
      </c>
      <c r="B124" s="13" t="str">
        <f>'[1]Pipe Insulation'!A11</f>
        <v>35mm x 19mm Wall Pipe Insulation (2m Length)</v>
      </c>
      <c r="C124" s="13" t="str">
        <f>'[1]Pipe Insulation'!B11</f>
        <v>35x19mm</v>
      </c>
      <c r="D124" s="13" t="str">
        <f>'[1]Pipe Insulation'!C11</f>
        <v>Length</v>
      </c>
      <c r="E124" s="13">
        <v>10</v>
      </c>
      <c r="F124" s="15">
        <f>'[1]Pipe Insulation'!E11</f>
        <v>4.8</v>
      </c>
      <c r="G124" s="15">
        <f>E124*F124</f>
        <v>48</v>
      </c>
    </row>
    <row r="125" s="1" customFormat="1" spans="1:7">
      <c r="A125" s="13" t="s">
        <v>99</v>
      </c>
      <c r="B125" s="13" t="str">
        <f>'[1]Pipe Insulation'!A12</f>
        <v>External Weatherproof Pipe Insulation Tape</v>
      </c>
      <c r="C125" s="13" t="str">
        <f>'[1]Pipe Insulation'!B12</f>
        <v>50mm x 10m</v>
      </c>
      <c r="D125" s="13" t="str">
        <f>'[1]Pipe Insulation'!C12</f>
        <v>Roll</v>
      </c>
      <c r="E125" s="13">
        <f>'[1]Pipe Insulation'!D12</f>
        <v>0</v>
      </c>
      <c r="F125" s="15">
        <f>'[1]Pipe Insulation'!E12</f>
        <v>9.5</v>
      </c>
      <c r="G125" s="15">
        <f>E125*F125</f>
        <v>0</v>
      </c>
    </row>
    <row r="126" s="1" customFormat="1" spans="1:7">
      <c r="A126" s="13"/>
      <c r="B126" s="13"/>
      <c r="C126" s="13"/>
      <c r="D126" s="13"/>
      <c r="E126" s="13"/>
      <c r="F126" s="15"/>
      <c r="G126" s="15"/>
    </row>
    <row r="127" s="1" customFormat="1" spans="1:7">
      <c r="A127" s="13"/>
      <c r="B127" s="13"/>
      <c r="C127" s="13"/>
      <c r="D127" s="13"/>
      <c r="E127" s="13"/>
      <c r="F127" s="15"/>
      <c r="G127" s="15"/>
    </row>
    <row r="128" s="1" customFormat="1" spans="1:7">
      <c r="A128" s="13"/>
      <c r="B128" s="13" t="s">
        <v>56</v>
      </c>
      <c r="C128" s="13"/>
      <c r="D128" s="13"/>
      <c r="E128" s="13">
        <v>54</v>
      </c>
      <c r="F128" s="15">
        <v>70</v>
      </c>
      <c r="G128" s="15">
        <f>E128*F128</f>
        <v>3780</v>
      </c>
    </row>
    <row r="129" s="1" customFormat="1" spans="1:7">
      <c r="A129" s="13"/>
      <c r="B129" s="13"/>
      <c r="C129" s="13"/>
      <c r="D129" s="13"/>
      <c r="E129" s="13"/>
      <c r="F129" s="15"/>
      <c r="G129" s="15"/>
    </row>
    <row r="130" s="1" customFormat="1" spans="1:7">
      <c r="A130" s="13"/>
      <c r="B130" s="13"/>
      <c r="C130" s="13"/>
      <c r="D130" s="13"/>
      <c r="E130" s="13"/>
      <c r="F130" s="15"/>
      <c r="G130" s="15"/>
    </row>
    <row r="131" s="1" customFormat="1" spans="1:7">
      <c r="A131" s="16" t="s">
        <v>100</v>
      </c>
      <c r="G131" s="17">
        <f>SUM(G4:G130)</f>
        <v>8189.55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D49" sqref="D49"/>
    </sheetView>
  </sheetViews>
  <sheetFormatPr defaultColWidth="9" defaultRowHeight="16.8" outlineLevelCol="6"/>
  <cols>
    <col min="1" max="1" width="52" style="1" customWidth="1"/>
    <col min="2" max="2" width="18" style="1" customWidth="1"/>
    <col min="3" max="3" width="12" style="1" customWidth="1"/>
    <col min="4" max="4" width="10" style="1" customWidth="1"/>
    <col min="5" max="6" width="16" style="1" customWidth="1"/>
    <col min="7" max="7" width="34" style="1" customWidth="1"/>
    <col min="8" max="16384" width="9" style="1"/>
  </cols>
  <sheetData>
    <row r="1" s="1" customFormat="1" ht="20.4" spans="1:7">
      <c r="A1" s="2" t="s">
        <v>101</v>
      </c>
    </row>
    <row r="3" s="1" customFormat="1" spans="1:7">
      <c r="A3" s="3" t="s">
        <v>1</v>
      </c>
      <c r="B3" s="4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3" t="s">
        <v>7</v>
      </c>
    </row>
    <row r="4" s="1" customFormat="1" spans="1:7">
      <c r="A4" s="5" t="s">
        <v>102</v>
      </c>
      <c r="B4" s="6" t="s">
        <v>103</v>
      </c>
      <c r="C4" s="6" t="s">
        <v>104</v>
      </c>
      <c r="D4" s="6">
        <v>0</v>
      </c>
      <c r="E4" s="7">
        <v>0.85</v>
      </c>
      <c r="F4" s="7">
        <f>D4*E4</f>
        <v>0</v>
      </c>
      <c r="G4" s="5" t="s">
        <v>105</v>
      </c>
    </row>
    <row r="5" s="1" customFormat="1" spans="1:7">
      <c r="A5" s="5" t="s">
        <v>106</v>
      </c>
      <c r="B5" s="6" t="s">
        <v>107</v>
      </c>
      <c r="C5" s="6" t="s">
        <v>108</v>
      </c>
      <c r="D5" s="6">
        <v>0</v>
      </c>
      <c r="E5" s="7">
        <v>7.8</v>
      </c>
      <c r="F5" s="7">
        <f>D5*E5</f>
        <v>0</v>
      </c>
      <c r="G5" s="5" t="s">
        <v>109</v>
      </c>
    </row>
    <row r="6" s="1" customFormat="1" spans="1:7">
      <c r="A6" s="5" t="s">
        <v>110</v>
      </c>
      <c r="B6" s="6" t="s">
        <v>111</v>
      </c>
      <c r="C6" s="6" t="s">
        <v>104</v>
      </c>
      <c r="D6" s="6">
        <v>0</v>
      </c>
      <c r="E6" s="7">
        <v>14.5</v>
      </c>
      <c r="F6" s="7">
        <f>D6*E6</f>
        <v>0</v>
      </c>
      <c r="G6" s="5" t="s">
        <v>112</v>
      </c>
    </row>
    <row r="7" s="1" customFormat="1" spans="1:7">
      <c r="A7" s="5" t="s">
        <v>113</v>
      </c>
      <c r="B7" s="6" t="s">
        <v>114</v>
      </c>
      <c r="C7" s="6" t="s">
        <v>115</v>
      </c>
      <c r="D7" s="6">
        <v>0</v>
      </c>
      <c r="E7" s="7">
        <v>4.5</v>
      </c>
      <c r="F7" s="7">
        <f>D7*E7</f>
        <v>0</v>
      </c>
      <c r="G7" s="5" t="s">
        <v>116</v>
      </c>
    </row>
    <row r="8" s="1" customFormat="1" spans="1:7">
      <c r="A8" s="5" t="s">
        <v>117</v>
      </c>
      <c r="B8" s="6" t="s">
        <v>118</v>
      </c>
      <c r="C8" s="6" t="s">
        <v>108</v>
      </c>
      <c r="D8" s="6">
        <v>0</v>
      </c>
      <c r="E8" s="7">
        <v>7.2</v>
      </c>
      <c r="F8" s="7">
        <f>D8*E8</f>
        <v>0</v>
      </c>
      <c r="G8" s="5" t="s">
        <v>119</v>
      </c>
    </row>
    <row r="9" s="1" customFormat="1" spans="1:7">
      <c r="A9" s="5" t="s">
        <v>120</v>
      </c>
      <c r="B9" s="6" t="s">
        <v>121</v>
      </c>
      <c r="C9" s="6" t="s">
        <v>122</v>
      </c>
      <c r="D9" s="6">
        <v>0</v>
      </c>
      <c r="E9" s="7">
        <v>5.8</v>
      </c>
      <c r="F9" s="7">
        <f>D9*E9</f>
        <v>0</v>
      </c>
      <c r="G9" s="5" t="s">
        <v>123</v>
      </c>
    </row>
    <row r="10" s="1" customFormat="1" spans="1:7">
      <c r="A10" s="5" t="s">
        <v>124</v>
      </c>
      <c r="B10" s="6" t="s">
        <v>125</v>
      </c>
      <c r="C10" s="6" t="s">
        <v>126</v>
      </c>
      <c r="D10" s="6">
        <v>0</v>
      </c>
      <c r="E10" s="7">
        <v>6.5</v>
      </c>
      <c r="F10" s="7">
        <f>D10*E10</f>
        <v>0</v>
      </c>
      <c r="G10" s="5" t="s">
        <v>127</v>
      </c>
    </row>
    <row r="11" s="1" customFormat="1" spans="1:7">
      <c r="A11" s="5" t="s">
        <v>128</v>
      </c>
      <c r="B11" s="6" t="s">
        <v>125</v>
      </c>
      <c r="C11" s="6" t="s">
        <v>126</v>
      </c>
      <c r="D11" s="6">
        <v>0</v>
      </c>
      <c r="E11" s="7">
        <v>6.5</v>
      </c>
      <c r="F11" s="7">
        <f>D11*E11</f>
        <v>0</v>
      </c>
      <c r="G11" s="5" t="s">
        <v>127</v>
      </c>
    </row>
    <row r="12" s="1" customFormat="1" spans="1:7">
      <c r="A12" s="5" t="s">
        <v>129</v>
      </c>
      <c r="B12" s="6" t="s">
        <v>125</v>
      </c>
      <c r="C12" s="6" t="s">
        <v>126</v>
      </c>
      <c r="D12" s="6">
        <v>0</v>
      </c>
      <c r="E12" s="7">
        <v>8.9</v>
      </c>
      <c r="F12" s="7">
        <f>D12*E12</f>
        <v>0</v>
      </c>
      <c r="G12" s="5" t="s">
        <v>130</v>
      </c>
    </row>
    <row r="13" s="1" customFormat="1" spans="1:7">
      <c r="A13" s="5" t="s">
        <v>131</v>
      </c>
      <c r="B13" s="6" t="s">
        <v>132</v>
      </c>
      <c r="C13" s="6" t="s">
        <v>115</v>
      </c>
      <c r="D13" s="6">
        <v>0</v>
      </c>
      <c r="E13" s="7">
        <v>7.5</v>
      </c>
      <c r="F13" s="7">
        <f>D13*E13</f>
        <v>0</v>
      </c>
      <c r="G13" s="5" t="s">
        <v>133</v>
      </c>
    </row>
    <row r="14" s="1" customFormat="1" spans="1:7">
      <c r="A14" s="5" t="s">
        <v>134</v>
      </c>
      <c r="B14" s="6" t="s">
        <v>135</v>
      </c>
      <c r="C14" s="6" t="s">
        <v>104</v>
      </c>
      <c r="D14" s="6">
        <v>0</v>
      </c>
      <c r="E14" s="7">
        <v>8.5</v>
      </c>
      <c r="F14" s="7">
        <f>D14*E14</f>
        <v>0</v>
      </c>
      <c r="G14" s="5" t="s">
        <v>136</v>
      </c>
    </row>
    <row r="15" s="1" customFormat="1" spans="1:7">
      <c r="A15" s="5" t="s">
        <v>137</v>
      </c>
      <c r="B15" s="6" t="s">
        <v>138</v>
      </c>
      <c r="C15" s="6" t="s">
        <v>139</v>
      </c>
      <c r="D15" s="6">
        <v>0</v>
      </c>
      <c r="E15" s="7">
        <v>9.8</v>
      </c>
      <c r="F15" s="7">
        <f>D15*E15</f>
        <v>0</v>
      </c>
      <c r="G15" s="5" t="s">
        <v>140</v>
      </c>
    </row>
    <row r="16" s="1" customFormat="1" spans="1:7">
      <c r="A16" s="5" t="s">
        <v>141</v>
      </c>
      <c r="B16" s="6" t="s">
        <v>142</v>
      </c>
      <c r="C16" s="6" t="s">
        <v>143</v>
      </c>
      <c r="D16" s="6">
        <v>0</v>
      </c>
      <c r="E16" s="7">
        <v>14.5</v>
      </c>
      <c r="F16" s="7">
        <f>D16*E16</f>
        <v>0</v>
      </c>
      <c r="G16" s="5" t="s">
        <v>144</v>
      </c>
    </row>
    <row r="17" s="1" customFormat="1" spans="1:7">
      <c r="A17" s="5" t="s">
        <v>145</v>
      </c>
      <c r="B17" s="6" t="s">
        <v>146</v>
      </c>
      <c r="C17" s="6" t="s">
        <v>143</v>
      </c>
      <c r="D17" s="6">
        <v>0</v>
      </c>
      <c r="E17" s="7">
        <v>38</v>
      </c>
      <c r="F17" s="7">
        <f>D17*E17</f>
        <v>0</v>
      </c>
      <c r="G17" s="5" t="s">
        <v>147</v>
      </c>
    </row>
    <row r="18" s="1" customFormat="1" spans="1:7">
      <c r="A18" s="5" t="s">
        <v>148</v>
      </c>
      <c r="B18" s="6" t="s">
        <v>149</v>
      </c>
      <c r="C18" s="6" t="s">
        <v>108</v>
      </c>
      <c r="D18" s="6">
        <v>0</v>
      </c>
      <c r="E18" s="7">
        <v>8.9</v>
      </c>
      <c r="F18" s="7">
        <f>D18*E18</f>
        <v>0</v>
      </c>
      <c r="G18" s="5" t="s">
        <v>150</v>
      </c>
    </row>
    <row r="19" s="1" customFormat="1" spans="1:7">
      <c r="A19" s="5" t="s">
        <v>151</v>
      </c>
      <c r="B19" s="6" t="s">
        <v>152</v>
      </c>
      <c r="C19" s="6" t="s">
        <v>104</v>
      </c>
      <c r="D19" s="6">
        <v>0</v>
      </c>
      <c r="E19" s="7">
        <v>1.2</v>
      </c>
      <c r="F19" s="7">
        <f>D19*E19</f>
        <v>0</v>
      </c>
      <c r="G19" s="5" t="s">
        <v>153</v>
      </c>
    </row>
    <row r="20" s="1" customFormat="1" ht="17.55" spans="1:7">
      <c r="A20" s="8" t="s">
        <v>47</v>
      </c>
      <c r="F20" s="9">
        <f>SUM(F4:F19)</f>
        <v>0</v>
      </c>
    </row>
    <row r="21" s="1" customFormat="1" ht="17.55"/>
  </sheetData>
  <mergeCells count="1">
    <mergeCell ref="A1:G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D14" sqref="D14"/>
    </sheetView>
  </sheetViews>
  <sheetFormatPr defaultColWidth="9" defaultRowHeight="16.8" outlineLevelCol="6"/>
  <cols>
    <col min="1" max="1" width="52" style="1" customWidth="1"/>
    <col min="2" max="2" width="18" style="1" customWidth="1"/>
    <col min="3" max="3" width="12" style="1" customWidth="1"/>
    <col min="4" max="4" width="10" style="1" customWidth="1"/>
    <col min="5" max="6" width="16" style="1" customWidth="1"/>
    <col min="7" max="7" width="34" style="1" customWidth="1"/>
    <col min="8" max="16384" width="9" style="1"/>
  </cols>
  <sheetData>
    <row r="1" s="1" customFormat="1" ht="20.4" spans="1:7">
      <c r="A1" s="2" t="s">
        <v>154</v>
      </c>
    </row>
    <row r="3" s="1" customFormat="1" spans="1:7">
      <c r="A3" s="3" t="s">
        <v>1</v>
      </c>
      <c r="B3" s="4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3" t="s">
        <v>7</v>
      </c>
    </row>
    <row r="4" s="1" customFormat="1" spans="1:7">
      <c r="A4" s="5"/>
      <c r="B4" s="6"/>
      <c r="C4" s="6"/>
      <c r="D4" s="6"/>
      <c r="E4" s="7"/>
      <c r="F4" s="7"/>
      <c r="G4" s="5"/>
    </row>
    <row r="5" s="1" customFormat="1" spans="1:7">
      <c r="A5" s="5" t="s">
        <v>155</v>
      </c>
      <c r="B5" s="6"/>
      <c r="C5" s="6" t="s">
        <v>156</v>
      </c>
      <c r="D5" s="6">
        <v>36</v>
      </c>
      <c r="E5" s="7">
        <v>150</v>
      </c>
      <c r="F5" s="7">
        <f>D5*E5</f>
        <v>5400</v>
      </c>
      <c r="G5" s="5"/>
    </row>
    <row r="6" s="1" customFormat="1" spans="1:7">
      <c r="A6" s="5"/>
      <c r="B6" s="6"/>
      <c r="C6" s="6"/>
      <c r="D6" s="6"/>
      <c r="E6" s="7"/>
      <c r="F6" s="7"/>
      <c r="G6" s="5"/>
    </row>
    <row r="7" s="1" customFormat="1" spans="1:7">
      <c r="A7" s="5"/>
      <c r="B7" s="6"/>
      <c r="C7" s="6"/>
      <c r="D7" s="6"/>
      <c r="E7" s="7"/>
      <c r="F7" s="7"/>
      <c r="G7" s="5"/>
    </row>
    <row r="8" s="1" customFormat="1" spans="1:7">
      <c r="A8" s="8" t="s">
        <v>47</v>
      </c>
      <c r="F8" s="9">
        <f>SUM(F4:F7)</f>
        <v>5400</v>
      </c>
    </row>
    <row r="9" s="1" customFormat="1" ht="17.55"/>
  </sheetData>
  <mergeCells count="1">
    <mergeCell ref="A1:G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B49" sqref="B49"/>
    </sheetView>
  </sheetViews>
  <sheetFormatPr defaultColWidth="9" defaultRowHeight="16.8" outlineLevelCol="6"/>
  <cols>
    <col min="1" max="1" width="52" style="1" customWidth="1"/>
    <col min="2" max="2" width="18" style="1" customWidth="1"/>
    <col min="3" max="3" width="12" style="1" customWidth="1"/>
    <col min="4" max="4" width="10" style="1" customWidth="1"/>
    <col min="5" max="6" width="16" style="1" customWidth="1"/>
    <col min="7" max="7" width="34" style="1" customWidth="1"/>
    <col min="8" max="16384" width="9" style="1"/>
  </cols>
  <sheetData>
    <row r="1" s="1" customFormat="1" ht="20.4" spans="1:7">
      <c r="A1" s="2" t="s">
        <v>157</v>
      </c>
    </row>
    <row r="3" s="1" customFormat="1" spans="1:7">
      <c r="A3" s="3" t="s">
        <v>1</v>
      </c>
      <c r="B3" s="4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3" t="s">
        <v>7</v>
      </c>
    </row>
    <row r="4" s="1" customFormat="1" spans="1:7">
      <c r="A4" s="5"/>
      <c r="B4" s="6"/>
      <c r="C4" s="6"/>
      <c r="D4" s="6"/>
      <c r="E4" s="7"/>
      <c r="F4" s="7"/>
      <c r="G4" s="5"/>
    </row>
    <row r="5" s="1" customFormat="1" spans="1:7">
      <c r="A5" s="5" t="s">
        <v>158</v>
      </c>
      <c r="B5" s="6"/>
      <c r="C5" s="6" t="s">
        <v>156</v>
      </c>
      <c r="D5" s="6">
        <v>3</v>
      </c>
      <c r="E5" s="7">
        <v>150</v>
      </c>
      <c r="F5" s="7">
        <f>D5*E5</f>
        <v>450</v>
      </c>
      <c r="G5" s="5"/>
    </row>
    <row r="6" s="1" customFormat="1" spans="1:7">
      <c r="A6" s="5" t="s">
        <v>159</v>
      </c>
      <c r="B6" s="6"/>
      <c r="C6" s="6" t="s">
        <v>156</v>
      </c>
      <c r="D6" s="6">
        <v>4</v>
      </c>
      <c r="E6" s="7">
        <v>50</v>
      </c>
      <c r="F6" s="7">
        <f>D6*E6</f>
        <v>200</v>
      </c>
      <c r="G6" s="5"/>
    </row>
    <row r="7" s="1" customFormat="1" spans="1:7">
      <c r="A7" s="5"/>
      <c r="B7" s="6"/>
      <c r="C7" s="6"/>
      <c r="D7" s="6"/>
      <c r="E7" s="7"/>
      <c r="F7" s="7"/>
      <c r="G7" s="5"/>
    </row>
    <row r="8" s="1" customFormat="1" ht="17.55" spans="1:7">
      <c r="A8" s="8" t="s">
        <v>47</v>
      </c>
      <c r="F8" s="9">
        <f>SUM(F4:F7)</f>
        <v>650</v>
      </c>
    </row>
    <row r="9" s="1" customFormat="1" ht="17.55"/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Clip set up copper 1.5m</vt:lpstr>
      <vt:lpstr>Clip setup 110mm pipe per 1.5m</vt:lpstr>
      <vt:lpstr>Clip setup for waste pipes 1.5M</vt:lpstr>
      <vt:lpstr>Plantroom Riser per floor </vt:lpstr>
      <vt:lpstr>WATER MAIN BOOSTER SET</vt:lpstr>
      <vt:lpstr>Plantoom installation </vt:lpstr>
      <vt:lpstr>Consumables</vt:lpstr>
      <vt:lpstr>Hole Coring</vt:lpstr>
      <vt:lpstr>Roofer Costs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chrislawson</dc:creator>
  <cp:lastModifiedBy>chrislawson</cp:lastModifiedBy>
  <dcterms:created xsi:type="dcterms:W3CDTF">2026-08-13T08:21:23Z</dcterms:created>
  <dcterms:modified xsi:type="dcterms:W3CDTF">2026-08-13T12:02:37Z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C3D2BFF5BEAB367773707D6AA6FC0D80_41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1</vt:i4>
  </property>
</Properties>
</file>